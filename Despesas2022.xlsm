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931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luisalves\OneDrive - OTIS Elevator\Documents\Projetos Python\Inventory\"/>
    </mc:Choice>
  </mc:AlternateContent>
  <xr:revisionPtr revIDLastSave="0" documentId="13_ncr:1_{040EFE51-2156-4A03-BDA5-5E3E52C1D9CA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2022" sheetId="1" r:id="rId1"/>
    <sheet name="Jan" sheetId="2" r:id="rId2"/>
    <sheet name="Fev" sheetId="8" r:id="rId3"/>
    <sheet name="Mar" sheetId="9" r:id="rId4"/>
    <sheet name="Abr" sheetId="10" r:id="rId5"/>
    <sheet name="Mai" sheetId="11" r:id="rId6"/>
    <sheet name="Jun" sheetId="12" r:id="rId7"/>
    <sheet name="Jul" sheetId="13" r:id="rId8"/>
    <sheet name="Ago" sheetId="14" r:id="rId9"/>
    <sheet name="Set" sheetId="15" r:id="rId10"/>
    <sheet name="Out" sheetId="16" r:id="rId11"/>
    <sheet name="Nov" sheetId="17" r:id="rId12"/>
    <sheet name="Dez" sheetId="18" r:id="rId13"/>
  </sheets>
  <definedNames>
    <definedName name="_xlchart.v1.0" hidden="1">'2022'!$B$3:$B$20</definedName>
    <definedName name="_xlchart.v1.1" hidden="1">'2022'!$O$2</definedName>
    <definedName name="_xlchart.v1.10" hidden="1">'2022'!$O$2</definedName>
    <definedName name="_xlchart.v1.11" hidden="1">'2022'!$O$3:$O$20</definedName>
    <definedName name="_xlchart.v1.12" hidden="1">'2022'!$B$3:$B$20</definedName>
    <definedName name="_xlchart.v1.13" hidden="1">'2022'!$O$2</definedName>
    <definedName name="_xlchart.v1.14" hidden="1">'2022'!$O$3:$O$20</definedName>
    <definedName name="_xlchart.v1.15" hidden="1">'2022'!$B$3:$B$20</definedName>
    <definedName name="_xlchart.v1.16" hidden="1">'2022'!$O$2</definedName>
    <definedName name="_xlchart.v1.17" hidden="1">'2022'!$O$3:$O$20</definedName>
    <definedName name="_xlchart.v1.2" hidden="1">'2022'!$O$3:$O$20</definedName>
    <definedName name="_xlchart.v1.3" hidden="1">'2022'!$B$3:$B$20</definedName>
    <definedName name="_xlchart.v1.4" hidden="1">'2022'!$O$2</definedName>
    <definedName name="_xlchart.v1.5" hidden="1">'2022'!$O$3:$O$20</definedName>
    <definedName name="_xlchart.v1.6" hidden="1">'2022'!$B$3:$B$20</definedName>
    <definedName name="_xlchart.v1.7" hidden="1">'2022'!$O$2</definedName>
    <definedName name="_xlchart.v1.8" hidden="1">'2022'!$O$3:$O$20</definedName>
    <definedName name="_xlchart.v1.9" hidden="1">'2022'!$B$3:$B$20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33" i="16" l="1"/>
  <c r="M33" i="14"/>
  <c r="M33" i="13"/>
  <c r="M32" i="12"/>
  <c r="M33" i="11"/>
  <c r="M32" i="10"/>
  <c r="M33" i="9"/>
  <c r="M30" i="8"/>
  <c r="M33" i="2"/>
  <c r="J18" i="18"/>
  <c r="N19" i="1" s="1"/>
  <c r="J13" i="17"/>
  <c r="M14" i="1" s="1"/>
  <c r="J18" i="17"/>
  <c r="M19" i="1" s="1"/>
  <c r="J13" i="16"/>
  <c r="L14" i="1" s="1"/>
  <c r="J18" i="16"/>
  <c r="L19" i="1" s="1"/>
  <c r="J18" i="15"/>
  <c r="K19" i="1" s="1"/>
  <c r="J13" i="14"/>
  <c r="J14" i="1" s="1"/>
  <c r="J18" i="14"/>
  <c r="J19" i="1" s="1"/>
  <c r="J13" i="13"/>
  <c r="I14" i="1" s="1"/>
  <c r="J18" i="13"/>
  <c r="I19" i="1" s="1"/>
  <c r="J18" i="12"/>
  <c r="H19" i="1" s="1"/>
  <c r="J18" i="11"/>
  <c r="G19" i="1" s="1"/>
  <c r="J18" i="10"/>
  <c r="F19" i="1" s="1"/>
  <c r="J13" i="9"/>
  <c r="E14" i="1" s="1"/>
  <c r="J15" i="9"/>
  <c r="E16" i="1" s="1"/>
  <c r="J18" i="9"/>
  <c r="E19" i="1" s="1"/>
  <c r="J13" i="8"/>
  <c r="D14" i="1" s="1"/>
  <c r="J15" i="8"/>
  <c r="D16" i="1" s="1"/>
  <c r="J18" i="8"/>
  <c r="D19" i="1" s="1"/>
  <c r="J13" i="2"/>
  <c r="C14" i="1" s="1"/>
  <c r="J15" i="2"/>
  <c r="C16" i="1" s="1"/>
  <c r="J16" i="2"/>
  <c r="C17" i="1" s="1"/>
  <c r="J9" i="18" l="1"/>
  <c r="N10" i="1" s="1"/>
  <c r="J6" i="18"/>
  <c r="N7" i="1" s="1"/>
  <c r="J17" i="18"/>
  <c r="N18" i="1" s="1"/>
  <c r="J12" i="18"/>
  <c r="N13" i="1" s="1"/>
  <c r="J14" i="18"/>
  <c r="N15" i="1" s="1"/>
  <c r="J5" i="18"/>
  <c r="N6" i="1" s="1"/>
  <c r="J3" i="18"/>
  <c r="N4" i="1" s="1"/>
  <c r="J10" i="18"/>
  <c r="N11" i="1" s="1"/>
  <c r="J7" i="18"/>
  <c r="N8" i="1" s="1"/>
  <c r="J4" i="18"/>
  <c r="N5" i="1" s="1"/>
  <c r="J11" i="18"/>
  <c r="N12" i="1" s="1"/>
  <c r="J2" i="18"/>
  <c r="N3" i="1" s="1"/>
  <c r="J13" i="18"/>
  <c r="N14" i="1" s="1"/>
  <c r="J8" i="17"/>
  <c r="M9" i="1" s="1"/>
  <c r="J4" i="17"/>
  <c r="M5" i="1" s="1"/>
  <c r="J15" i="17"/>
  <c r="M16" i="1" s="1"/>
  <c r="J17" i="17"/>
  <c r="M18" i="1" s="1"/>
  <c r="J3" i="17"/>
  <c r="M4" i="1" s="1"/>
  <c r="J4" i="16"/>
  <c r="L5" i="1" s="1"/>
  <c r="J17" i="16"/>
  <c r="L18" i="1" s="1"/>
  <c r="J14" i="16"/>
  <c r="L15" i="1" s="1"/>
  <c r="J8" i="16"/>
  <c r="L9" i="1" s="1"/>
  <c r="J5" i="16"/>
  <c r="L6" i="1" s="1"/>
  <c r="J3" i="16"/>
  <c r="L4" i="1" s="1"/>
  <c r="J3" i="15"/>
  <c r="K4" i="1" s="1"/>
  <c r="J2" i="15"/>
  <c r="K3" i="1" s="1"/>
  <c r="J17" i="15"/>
  <c r="K18" i="1" s="1"/>
  <c r="J13" i="15"/>
  <c r="K14" i="1" s="1"/>
  <c r="J12" i="15"/>
  <c r="K13" i="1" s="1"/>
  <c r="J8" i="15"/>
  <c r="K9" i="1" s="1"/>
  <c r="J14" i="15"/>
  <c r="K15" i="1" s="1"/>
  <c r="J9" i="15"/>
  <c r="K10" i="1" s="1"/>
  <c r="J5" i="15"/>
  <c r="K6" i="1" s="1"/>
  <c r="J11" i="15"/>
  <c r="K12" i="1" s="1"/>
  <c r="J11" i="14"/>
  <c r="J12" i="1" s="1"/>
  <c r="J2" i="14"/>
  <c r="J3" i="1" s="1"/>
  <c r="J8" i="14"/>
  <c r="J9" i="1" s="1"/>
  <c r="J3" i="14"/>
  <c r="J4" i="1" s="1"/>
  <c r="J5" i="14"/>
  <c r="J6" i="1" s="1"/>
  <c r="J16" i="18" l="1"/>
  <c r="N17" i="1" s="1"/>
  <c r="J16" i="16"/>
  <c r="L17" i="1" s="1"/>
  <c r="J5" i="17"/>
  <c r="M6" i="1" s="1"/>
  <c r="J8" i="18"/>
  <c r="N9" i="1" s="1"/>
  <c r="J6" i="14"/>
  <c r="J7" i="1" s="1"/>
  <c r="J15" i="14"/>
  <c r="J16" i="1" s="1"/>
  <c r="J15" i="15"/>
  <c r="K16" i="1" s="1"/>
  <c r="J6" i="15"/>
  <c r="K7" i="1" s="1"/>
  <c r="J16" i="15"/>
  <c r="K17" i="1" s="1"/>
  <c r="J2" i="17"/>
  <c r="M3" i="1" s="1"/>
  <c r="J17" i="14"/>
  <c r="J18" i="1" s="1"/>
  <c r="J15" i="16"/>
  <c r="L16" i="1" s="1"/>
  <c r="J2" i="16"/>
  <c r="L3" i="1" s="1"/>
  <c r="J14" i="17"/>
  <c r="M15" i="1" s="1"/>
  <c r="J15" i="18"/>
  <c r="N16" i="1" s="1"/>
  <c r="J16" i="14"/>
  <c r="J17" i="1" s="1"/>
  <c r="J4" i="14"/>
  <c r="J5" i="1" s="1"/>
  <c r="J7" i="15"/>
  <c r="K8" i="1" s="1"/>
  <c r="J4" i="15"/>
  <c r="K5" i="1" s="1"/>
  <c r="J16" i="17"/>
  <c r="M17" i="1" s="1"/>
  <c r="J10" i="15"/>
  <c r="K11" i="1" s="1"/>
  <c r="J12" i="14"/>
  <c r="J13" i="1" s="1"/>
  <c r="J14" i="14"/>
  <c r="J15" i="1" s="1"/>
  <c r="J10" i="17"/>
  <c r="M11" i="1" s="1"/>
  <c r="J12" i="17"/>
  <c r="M13" i="1" s="1"/>
  <c r="J9" i="17"/>
  <c r="M10" i="1" s="1"/>
  <c r="J6" i="16"/>
  <c r="L7" i="1" s="1"/>
  <c r="J11" i="16"/>
  <c r="L12" i="1" s="1"/>
  <c r="J7" i="16"/>
  <c r="L8" i="1" s="1"/>
  <c r="J12" i="16"/>
  <c r="L13" i="1" s="1"/>
  <c r="J10" i="16"/>
  <c r="L11" i="1" s="1"/>
  <c r="J9" i="16"/>
  <c r="L10" i="1" s="1"/>
  <c r="J7" i="14"/>
  <c r="J8" i="1" s="1"/>
  <c r="J6" i="17"/>
  <c r="M7" i="1" s="1"/>
  <c r="J7" i="17"/>
  <c r="M8" i="1" s="1"/>
  <c r="J11" i="17"/>
  <c r="M12" i="1" s="1"/>
  <c r="J9" i="14"/>
  <c r="J10" i="1" s="1"/>
  <c r="J10" i="14"/>
  <c r="J11" i="1" s="1"/>
  <c r="J8" i="13"/>
  <c r="I9" i="1" s="1"/>
  <c r="J4" i="13"/>
  <c r="I5" i="1" s="1"/>
  <c r="J6" i="13"/>
  <c r="I7" i="1" s="1"/>
  <c r="J16" i="13"/>
  <c r="I17" i="1" s="1"/>
  <c r="J11" i="13"/>
  <c r="I12" i="1" s="1"/>
  <c r="J2" i="13"/>
  <c r="J3" i="12"/>
  <c r="H4" i="1" s="1"/>
  <c r="J4" i="12"/>
  <c r="H5" i="1" s="1"/>
  <c r="J16" i="12"/>
  <c r="H17" i="1" s="1"/>
  <c r="J14" i="12"/>
  <c r="H15" i="1" s="1"/>
  <c r="J2" i="12"/>
  <c r="J15" i="11"/>
  <c r="G16" i="1" s="1"/>
  <c r="J2" i="11"/>
  <c r="J17" i="11"/>
  <c r="G18" i="1" s="1"/>
  <c r="J11" i="11"/>
  <c r="G12" i="1" s="1"/>
  <c r="J9" i="11"/>
  <c r="G10" i="1" s="1"/>
  <c r="J3" i="11"/>
  <c r="G4" i="1" s="1"/>
  <c r="J9" i="10"/>
  <c r="F10" i="1" s="1"/>
  <c r="J13" i="10"/>
  <c r="F14" i="1" s="1"/>
  <c r="J2" i="10"/>
  <c r="J6" i="10"/>
  <c r="F7" i="1" s="1"/>
  <c r="J11" i="10"/>
  <c r="F12" i="1" s="1"/>
  <c r="J4" i="10"/>
  <c r="F5" i="1" s="1"/>
  <c r="J17" i="10"/>
  <c r="F18" i="1" s="1"/>
  <c r="J8" i="10"/>
  <c r="F9" i="1" s="1"/>
  <c r="J3" i="10"/>
  <c r="F4" i="1" s="1"/>
  <c r="J12" i="10"/>
  <c r="F13" i="1" s="1"/>
  <c r="J17" i="9"/>
  <c r="E18" i="1" s="1"/>
  <c r="J9" i="9"/>
  <c r="E10" i="1" s="1"/>
  <c r="J8" i="9"/>
  <c r="E9" i="1" s="1"/>
  <c r="J3" i="9"/>
  <c r="E4" i="1" s="1"/>
  <c r="J5" i="9"/>
  <c r="E6" i="1" s="1"/>
  <c r="J2" i="9"/>
  <c r="J3" i="8"/>
  <c r="D4" i="1" s="1"/>
  <c r="J8" i="8"/>
  <c r="D9" i="1" s="1"/>
  <c r="J17" i="8"/>
  <c r="D18" i="1" s="1"/>
  <c r="J11" i="8"/>
  <c r="D12" i="1" s="1"/>
  <c r="J9" i="8"/>
  <c r="D10" i="1" s="1"/>
  <c r="J5" i="8"/>
  <c r="D6" i="1" s="1"/>
  <c r="J2" i="8"/>
  <c r="J4" i="8"/>
  <c r="D5" i="1" s="1"/>
  <c r="J19" i="18" l="1"/>
  <c r="J14" i="8"/>
  <c r="D15" i="1" s="1"/>
  <c r="J16" i="9"/>
  <c r="E17" i="1" s="1"/>
  <c r="J11" i="9"/>
  <c r="E12" i="1" s="1"/>
  <c r="J14" i="10"/>
  <c r="F15" i="1" s="1"/>
  <c r="J16" i="11"/>
  <c r="G17" i="1" s="1"/>
  <c r="J14" i="13"/>
  <c r="I15" i="1" s="1"/>
  <c r="J17" i="13"/>
  <c r="I18" i="1" s="1"/>
  <c r="J16" i="10"/>
  <c r="F17" i="1" s="1"/>
  <c r="J17" i="12"/>
  <c r="H18" i="1" s="1"/>
  <c r="J3" i="13"/>
  <c r="I4" i="1" s="1"/>
  <c r="J12" i="13"/>
  <c r="I13" i="1" s="1"/>
  <c r="J6" i="11"/>
  <c r="G7" i="1" s="1"/>
  <c r="J11" i="12"/>
  <c r="H12" i="1" s="1"/>
  <c r="J13" i="12"/>
  <c r="H14" i="1" s="1"/>
  <c r="J4" i="11"/>
  <c r="G5" i="1" s="1"/>
  <c r="J16" i="8"/>
  <c r="D17" i="1" s="1"/>
  <c r="J8" i="11"/>
  <c r="G9" i="1" s="1"/>
  <c r="J19" i="16"/>
  <c r="J19" i="15"/>
  <c r="J15" i="13"/>
  <c r="I16" i="1" s="1"/>
  <c r="J12" i="12"/>
  <c r="H13" i="1" s="1"/>
  <c r="J15" i="12"/>
  <c r="H16" i="1" s="1"/>
  <c r="J13" i="11"/>
  <c r="G14" i="1" s="1"/>
  <c r="J14" i="11"/>
  <c r="G15" i="1" s="1"/>
  <c r="J15" i="10"/>
  <c r="F16" i="1" s="1"/>
  <c r="J7" i="9"/>
  <c r="E8" i="1" s="1"/>
  <c r="J4" i="9"/>
  <c r="E5" i="1" s="1"/>
  <c r="J14" i="9"/>
  <c r="E15" i="1" s="1"/>
  <c r="J6" i="9"/>
  <c r="E7" i="1" s="1"/>
  <c r="J6" i="8"/>
  <c r="D7" i="1" s="1"/>
  <c r="J10" i="13"/>
  <c r="I11" i="1" s="1"/>
  <c r="I3" i="1"/>
  <c r="J8" i="12"/>
  <c r="H9" i="1" s="1"/>
  <c r="H3" i="1"/>
  <c r="G3" i="1"/>
  <c r="J5" i="11"/>
  <c r="G6" i="1" s="1"/>
  <c r="F3" i="1"/>
  <c r="J10" i="8"/>
  <c r="D11" i="1" s="1"/>
  <c r="D3" i="1"/>
  <c r="J7" i="8"/>
  <c r="D8" i="1" s="1"/>
  <c r="E3" i="1"/>
  <c r="J7" i="13"/>
  <c r="I8" i="1" s="1"/>
  <c r="J9" i="13"/>
  <c r="I10" i="1" s="1"/>
  <c r="J5" i="13"/>
  <c r="I6" i="1" s="1"/>
  <c r="J6" i="12"/>
  <c r="H7" i="1" s="1"/>
  <c r="J12" i="11"/>
  <c r="G13" i="1" s="1"/>
  <c r="J7" i="10"/>
  <c r="F8" i="1" s="1"/>
  <c r="J5" i="10"/>
  <c r="F6" i="1" s="1"/>
  <c r="J12" i="9"/>
  <c r="E13" i="1" s="1"/>
  <c r="J12" i="8"/>
  <c r="D13" i="1" s="1"/>
  <c r="J19" i="17"/>
  <c r="J19" i="14"/>
  <c r="J10" i="12"/>
  <c r="H11" i="1" s="1"/>
  <c r="J5" i="12"/>
  <c r="H6" i="1" s="1"/>
  <c r="J9" i="12"/>
  <c r="H10" i="1" s="1"/>
  <c r="J7" i="12"/>
  <c r="H8" i="1" s="1"/>
  <c r="J10" i="11"/>
  <c r="G11" i="1" s="1"/>
  <c r="J7" i="11"/>
  <c r="G8" i="1" s="1"/>
  <c r="J10" i="10"/>
  <c r="F11" i="1" s="1"/>
  <c r="J10" i="9"/>
  <c r="E11" i="1" s="1"/>
  <c r="J18" i="2"/>
  <c r="C19" i="1" s="1"/>
  <c r="J17" i="2"/>
  <c r="C18" i="1" s="1"/>
  <c r="O17" i="1" l="1"/>
  <c r="J14" i="2"/>
  <c r="C15" i="1" s="1"/>
  <c r="O15" i="1" s="1"/>
  <c r="J19" i="13"/>
  <c r="J19" i="12"/>
  <c r="J19" i="11"/>
  <c r="J19" i="10"/>
  <c r="J19" i="8"/>
  <c r="J19" i="9"/>
  <c r="O19" i="1"/>
  <c r="O18" i="1"/>
  <c r="O16" i="1"/>
  <c r="O14" i="1"/>
  <c r="J5" i="2"/>
  <c r="C6" i="1" s="1"/>
  <c r="J6" i="2"/>
  <c r="C7" i="1" s="1"/>
  <c r="J7" i="2"/>
  <c r="C8" i="1" s="1"/>
  <c r="J8" i="2"/>
  <c r="C9" i="1" s="1"/>
  <c r="J9" i="2"/>
  <c r="C10" i="1" s="1"/>
  <c r="J10" i="2"/>
  <c r="C11" i="1" s="1"/>
  <c r="J11" i="2"/>
  <c r="J12" i="2"/>
  <c r="C13" i="1" s="1"/>
  <c r="C12" i="1" l="1"/>
  <c r="O12" i="1" s="1"/>
  <c r="O11" i="1"/>
  <c r="O13" i="1"/>
  <c r="J2" i="2"/>
  <c r="C3" i="1" s="1"/>
  <c r="J3" i="2"/>
  <c r="J4" i="2"/>
  <c r="O6" i="1"/>
  <c r="O7" i="1"/>
  <c r="O8" i="1"/>
  <c r="O9" i="1"/>
  <c r="O10" i="1"/>
  <c r="O28" i="1"/>
  <c r="C5" i="1" l="1"/>
  <c r="O5" i="1" s="1"/>
  <c r="C4" i="1"/>
  <c r="O4" i="1" s="1"/>
  <c r="O3" i="1"/>
  <c r="J19" i="2"/>
  <c r="O26" i="1"/>
  <c r="O27" i="1"/>
  <c r="D20" i="1"/>
  <c r="E20" i="1"/>
  <c r="F20" i="1"/>
  <c r="G20" i="1"/>
  <c r="H20" i="1"/>
  <c r="I20" i="1"/>
  <c r="J20" i="1"/>
  <c r="K20" i="1"/>
  <c r="L20" i="1"/>
  <c r="M20" i="1"/>
  <c r="N20" i="1"/>
  <c r="N29" i="1"/>
  <c r="M29" i="1"/>
  <c r="L29" i="1"/>
  <c r="K29" i="1"/>
  <c r="J29" i="1"/>
  <c r="I29" i="1"/>
  <c r="H29" i="1"/>
  <c r="G29" i="1"/>
  <c r="F29" i="1"/>
  <c r="E29" i="1"/>
  <c r="D29" i="1"/>
  <c r="C29" i="1"/>
  <c r="C20" i="1" l="1"/>
  <c r="C22" i="1" s="1"/>
  <c r="C23" i="1" s="1"/>
  <c r="N22" i="1"/>
  <c r="M22" i="1"/>
  <c r="J22" i="1"/>
  <c r="I22" i="1"/>
  <c r="F22" i="1"/>
  <c r="E22" i="1"/>
  <c r="K22" i="1"/>
  <c r="G22" i="1"/>
  <c r="L22" i="1"/>
  <c r="H22" i="1"/>
  <c r="D22" i="1"/>
  <c r="O29" i="1"/>
  <c r="O20" i="1"/>
  <c r="D23" i="1" l="1"/>
  <c r="E23" i="1" s="1"/>
  <c r="F23" i="1" s="1"/>
  <c r="G23" i="1" s="1"/>
  <c r="H23" i="1" s="1"/>
  <c r="I23" i="1" s="1"/>
  <c r="J23" i="1" s="1"/>
  <c r="K23" i="1" s="1"/>
  <c r="L23" i="1" s="1"/>
  <c r="M23" i="1" s="1"/>
  <c r="N23" i="1" s="1"/>
</calcChain>
</file>

<file path=xl/sharedStrings.xml><?xml version="1.0" encoding="utf-8"?>
<sst xmlns="http://schemas.openxmlformats.org/spreadsheetml/2006/main" count="394" uniqueCount="50">
  <si>
    <t>Categoria</t>
  </si>
  <si>
    <t>Luz</t>
  </si>
  <si>
    <t>Agua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</si>
  <si>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</si>
  <si>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</si>
  <si>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</si>
  <si>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</si>
  <si>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</si>
  <si>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</si>
  <si>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</si>
  <si>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</si>
  <si>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</si>
  <si>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</si>
  <si>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</si>
  <si>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</si>
  <si>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Despesas</t>
  </si>
  <si>
    <t>Ganhos</t>
  </si>
  <si>
    <t>Ordenado</t>
  </si>
  <si>
    <t>Total</t>
  </si>
  <si>
    <t>Misc</t>
  </si>
  <si>
    <t>Trends</t>
  </si>
  <si>
    <t>Saldo</t>
  </si>
  <si>
    <t>Refeição</t>
  </si>
  <si>
    <t>Valor</t>
  </si>
  <si>
    <t>Data</t>
  </si>
  <si>
    <t>Nos</t>
  </si>
  <si>
    <t xml:space="preserve">Carro </t>
  </si>
  <si>
    <t>Gasoleo</t>
  </si>
  <si>
    <t>Restaurante</t>
  </si>
  <si>
    <t>Viagem</t>
  </si>
  <si>
    <t>Via Verde</t>
  </si>
  <si>
    <t>Levantamento</t>
  </si>
  <si>
    <t>Mercearia</t>
  </si>
  <si>
    <t>Categoria #2</t>
  </si>
  <si>
    <t>Crédito</t>
  </si>
  <si>
    <t>Débito</t>
  </si>
  <si>
    <t>Descrição</t>
  </si>
  <si>
    <t>Roupa</t>
  </si>
  <si>
    <t>Informatica</t>
  </si>
  <si>
    <t>SL</t>
  </si>
  <si>
    <t>Tabaco</t>
  </si>
  <si>
    <t>Conta</t>
  </si>
  <si>
    <t>Impostos</t>
  </si>
  <si>
    <t>Combustivel</t>
  </si>
  <si>
    <t>Veiculos</t>
  </si>
  <si>
    <t>Luz/Gaz</t>
  </si>
  <si>
    <t>Diogo</t>
  </si>
  <si>
    <t>vending otis</t>
  </si>
  <si>
    <t>Férias</t>
  </si>
  <si>
    <t>Faculdade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</si>
</sst>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4" formatCode="_-* #,##0.00\ &quot;€&quot;_-;\-* #,##0.00\ &quot;€&quot;_-;_-* &quot;-&quot;??\ &quot;€&quot;_-;_-@_-"/>
    <numFmt numFmtId="164" formatCode="#,##0.00\ &quot;€&quot;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20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5"/>
      </patternFill>
    </fill>
    <fill>
      <patternFill patternType="solid">
        <fgColor theme="4" tint="0.59999389629810485"/>
        <bgColor indexed="64"/>
      </patternFill>
    </fill>
  </fills>
  <borders count="3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44" fontId="1" fillId="0" borderId="0" applyFont="0" applyFill="0" applyBorder="0" applyAlignment="0" applyProtection="0"/>
  </cellStyleXfs>
  <cellXfs count="19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1" fillId="2" borderId="0" xfId="1" applyNumberFormat="1" applyAlignment="1">
      <alignment horizontal="center" vertical="center"/>
    </xf>
    <xf numFmtId="44" fontId="0" fillId="0" borderId="0" xfId="2" applyFont="1"/>
    <xf numFmtId="0" fontId="0" fillId="3" borderId="0" xfId="0" applyFill="1"/>
    <xf numFmtId="14" fontId="0" fillId="0" borderId="0" xfId="2" applyNumberFormat="1" applyFont="1"/>
    <xf numFmtId="0" fontId="0" fillId="3" borderId="0" xfId="0" applyFill="1" applyAlignment="1">
      <alignment horizontal="center" vertical="center"/>
    </xf>
    <xf numFmtId="0" fontId="0" fillId="0" borderId="0" xfId="0" applyAlignment="1">
      <alignment vertical="center"/>
    </xf>
    <xf numFmtId="14" fontId="0" fillId="0" borderId="0" xfId="0" applyNumberFormat="1" applyAlignment="1">
      <alignment vertical="center"/>
    </xf>
    <xf numFmtId="44" fontId="0" fillId="0" borderId="0" xfId="2" applyFont="1" applyAlignment="1">
      <alignment horizontal="center" vertical="center"/>
    </xf>
    <xf numFmtId="44" fontId="0" fillId="0" borderId="0" xfId="0" applyNumberFormat="1"/>
    <xf numFmtId="14" fontId="0" fillId="0" borderId="0" xfId="0" applyNumberFormat="1"/>
    <xf numFmtId="0" fontId="2" fillId="0" borderId="0" xfId="0" applyFont="1" applyAlignment="1">
      <alignment horizontal="center"/>
    </xf>
    <xf numFmtId="164" fontId="1" fillId="2" borderId="1" xfId="1" applyNumberFormat="1" applyBorder="1" applyAlignment="1">
      <alignment horizontal="center"/>
    </xf>
    <xf numFmtId="164" fontId="1" fillId="2" borderId="2" xfId="1" applyNumberFormat="1" applyBorder="1" applyAlignment="1">
      <alignment horizontal="center"/>
    </xf>
    <xf numFmtId="0" fontId="1" fillId="2" borderId="1" xfId="1" applyBorder="1" applyAlignment="1">
      <alignment horizontal="center"/>
    </xf>
    <xf numFmtId="0" fontId="1" fillId="2" borderId="2" xfId="1" applyBorder="1" applyAlignment="1">
      <alignment horizontal="center"/>
    </xf>
  </cellXfs>
  <cellStyles count="3">
    <cellStyle name="40% - Accent1" xfId="1" builtinId="31"/>
    <cellStyle name="Currency" xfId="2" builtinId="4"/>
    <cellStyle name="Normal" xfId="0" builtinId="0"/>
  </cellStyles>
  <dxfs count="177">
    <dxf>
      <fill>
        <patternFill patternType="solid">
          <fgColor indexed="64"/>
          <bgColor theme="4" tint="0.59999389629810485"/>
        </patternFill>
      </fill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165" formatCode="#.##000\ \€"/>
      <alignment horizontal="general" vertical="bottom" textRotation="0" wrapText="0" indent="0" justifyLastLine="0" shrinkToFit="0" readingOrder="0"/>
    </dxf>
    <dxf>
      <numFmt numFmtId="165" formatCode="#.##000\ \€"/>
      <alignment horizontal="general" vertical="bottom" textRotation="0" wrapText="0" indent="0" justifyLastLine="0" shrinkToFit="0" readingOrder="0"/>
    </dxf>
    <dxf>
      <numFmt numFmtId="164" formatCode="#,##0.00\ &quot;€&quot;"/>
      <alignment horizontal="general" vertical="bottom" textRotation="0" wrapText="0" indent="0" justifyLastLine="0" shrinkToFit="0" readingOrder="0"/>
    </dxf>
    <dxf>
      <fill>
        <patternFill>
          <bgColor theme="4"/>
        </patternFill>
      </fill>
    </dxf>
  </dxfs>
  <tableStyles count="3" defaultTableStyle="TableStyleMedium2" defaultPivotStyle="PivotStyleLight16">
    <tableStyle name="Invisible" pivot="0" table="0" count="0" xr9:uid="{E5EA34A3-2876-473D-BE0E-EEDB26960261}"/>
    <tableStyle name="PivotTable Style 1" table="0" count="0" xr9:uid="{00000000-0011-0000-FFFF-FFFF00000000}"/>
    <tableStyle name="Table Style 1" pivot="0" count="1" xr9:uid="{00000000-0011-0000-FFFF-FFFF01000000}">
      <tableStyleElement type="headerRow" dxfId="17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'2022'!$B$3</c:f>
              <c:strCache>
                <c:ptCount val="1"/>
                <c:pt idx="0">
                  <c:v>Luz/Gaz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'2022'!$C$3:$N$3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93-4031-832A-D5181430D4BC}"/>
            </c:ext>
          </c:extLst>
        </c:ser>
        <c:ser>
          <c:idx val="1"/>
          <c:order val="1"/>
          <c:tx>
            <c:strRef>
              <c:f>'2022'!$B$4</c:f>
              <c:strCache>
                <c:ptCount val="1"/>
                <c:pt idx="0">
                  <c:v>Agua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'2022'!$C$4:$N$4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193-4031-832A-D5181430D4BC}"/>
            </c:ext>
          </c:extLst>
        </c:ser>
        <c:ser>
          <c:idx val="2"/>
          <c:order val="2"/>
          <c:tx>
            <c:strRef>
              <c:f>'2022'!$B$5</c:f>
              <c:strCache>
                <c:ptCount val="1"/>
                <c:pt idx="0">
                  <c:v>Nos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'2022'!$C$5:$N$5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193-4031-832A-D5181430D4BC}"/>
            </c:ext>
          </c:extLst>
        </c:ser>
        <c:ser>
          <c:idx val="4"/>
          <c:order val="3"/>
          <c:tx>
            <c:strRef>
              <c:f>'2022'!$B$6</c:f>
              <c:strCache>
                <c:ptCount val="1"/>
                <c:pt idx="0">
                  <c:v>Veiculos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'2022'!$C$6:$N$6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193-4031-832A-D5181430D4BC}"/>
            </c:ext>
          </c:extLst>
        </c:ser>
        <c:ser>
          <c:idx val="5"/>
          <c:order val="4"/>
          <c:tx>
            <c:strRef>
              <c:f>'2022'!$B$7</c:f>
              <c:strCache>
                <c:ptCount val="1"/>
                <c:pt idx="0">
                  <c:v>Combustivel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'2022'!$C$7:$N$7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193-4031-832A-D5181430D4BC}"/>
            </c:ext>
          </c:extLst>
        </c:ser>
        <c:ser>
          <c:idx val="6"/>
          <c:order val="5"/>
          <c:tx>
            <c:strRef>
              <c:f>'2022'!$B$8</c:f>
              <c:strCache>
                <c:ptCount val="1"/>
                <c:pt idx="0">
                  <c:v>Restaurante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'2022'!$C$8:$N$8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3.2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193-4031-832A-D5181430D4BC}"/>
            </c:ext>
          </c:extLst>
        </c:ser>
        <c:ser>
          <c:idx val="7"/>
          <c:order val="6"/>
          <c:tx>
            <c:strRef>
              <c:f>'2022'!$B$9</c:f>
              <c:strCache>
                <c:ptCount val="1"/>
                <c:pt idx="0">
                  <c:v>Férias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'2022'!$C$9:$N$9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193-4031-832A-D5181430D4BC}"/>
            </c:ext>
          </c:extLst>
        </c:ser>
        <c:ser>
          <c:idx val="8"/>
          <c:order val="7"/>
          <c:tx>
            <c:strRef>
              <c:f>'2022'!$B$10</c:f>
              <c:strCache>
                <c:ptCount val="1"/>
                <c:pt idx="0">
                  <c:v>Faculdade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'2022'!$C$10:$N$10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193-4031-832A-D5181430D4BC}"/>
            </c:ext>
          </c:extLst>
        </c:ser>
        <c:ser>
          <c:idx val="9"/>
          <c:order val="8"/>
          <c:tx>
            <c:strRef>
              <c:f>'2022'!$B$11</c:f>
              <c:strCache>
                <c:ptCount val="1"/>
                <c:pt idx="0">
                  <c:v>Misc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'2022'!$C$11:$N$11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120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193-4031-832A-D5181430D4BC}"/>
            </c:ext>
          </c:extLst>
        </c:ser>
        <c:ser>
          <c:idx val="10"/>
          <c:order val="9"/>
          <c:tx>
            <c:strRef>
              <c:f>'2022'!$B$12</c:f>
              <c:strCache>
                <c:ptCount val="1"/>
                <c:pt idx="0">
                  <c:v>Mercearia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'2022'!$C$12:$N$12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32.39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193-4031-832A-D5181430D4BC}"/>
            </c:ext>
          </c:extLst>
        </c:ser>
        <c:ser>
          <c:idx val="3"/>
          <c:order val="10"/>
          <c:tx>
            <c:strRef>
              <c:f>'2022'!$B$13</c:f>
              <c:strCache>
                <c:ptCount val="1"/>
                <c:pt idx="0">
                  <c:v>Levantamento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'2022'!$C$13:$N$13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944-41C4-B043-986E209AD1B1}"/>
            </c:ext>
          </c:extLst>
        </c:ser>
        <c:ser>
          <c:idx val="11"/>
          <c:order val="11"/>
          <c:tx>
            <c:strRef>
              <c:f>'2022'!$B$14</c:f>
              <c:strCache>
                <c:ptCount val="1"/>
                <c:pt idx="0">
                  <c:v>Roupa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'2022'!$C$14:$N$14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944-41C4-B043-986E209AD1B1}"/>
            </c:ext>
          </c:extLst>
        </c:ser>
        <c:ser>
          <c:idx val="12"/>
          <c:order val="12"/>
          <c:tx>
            <c:strRef>
              <c:f>'2022'!$B$15</c:f>
              <c:strCache>
                <c:ptCount val="1"/>
                <c:pt idx="0">
                  <c:v>Informatica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'2022'!$C$15:$N$15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944-41C4-B043-986E209AD1B1}"/>
            </c:ext>
          </c:extLst>
        </c:ser>
        <c:ser>
          <c:idx val="13"/>
          <c:order val="13"/>
          <c:tx>
            <c:strRef>
              <c:f>'2022'!$B$16</c:f>
              <c:strCache>
                <c:ptCount val="1"/>
                <c:pt idx="0">
                  <c:v>SL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'2022'!$C$16:$N$16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944-41C4-B043-986E209AD1B1}"/>
            </c:ext>
          </c:extLst>
        </c:ser>
        <c:ser>
          <c:idx val="14"/>
          <c:order val="14"/>
          <c:tx>
            <c:strRef>
              <c:f>'2022'!$B$17</c:f>
              <c:strCache>
                <c:ptCount val="1"/>
                <c:pt idx="0">
                  <c:v>Tabaco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'2022'!$C$17:$N$17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944-41C4-B043-986E209AD1B1}"/>
            </c:ext>
          </c:extLst>
        </c:ser>
        <c:ser>
          <c:idx val="15"/>
          <c:order val="15"/>
          <c:tx>
            <c:strRef>
              <c:f>'2022'!$B$18</c:f>
              <c:strCache>
                <c:ptCount val="1"/>
                <c:pt idx="0">
                  <c:v>Conta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'2022'!$C$18:$N$18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944-41C4-B043-986E209AD1B1}"/>
            </c:ext>
          </c:extLst>
        </c:ser>
        <c:ser>
          <c:idx val="16"/>
          <c:order val="16"/>
          <c:tx>
            <c:strRef>
              <c:f>'2022'!$B$19</c:f>
              <c:strCache>
                <c:ptCount val="1"/>
                <c:pt idx="0">
                  <c:v>Impostos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'2022'!$C$19:$N$19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5944-41C4-B043-986E209AD1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9445888"/>
        <c:axId val="96476480"/>
      </c:barChart>
      <c:catAx>
        <c:axId val="1294458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96476480"/>
        <c:crosses val="autoZero"/>
        <c:auto val="1"/>
        <c:lblAlgn val="ctr"/>
        <c:lblOffset val="100"/>
        <c:noMultiLvlLbl val="0"/>
      </c:catAx>
      <c:valAx>
        <c:axId val="96476480"/>
        <c:scaling>
          <c:orientation val="minMax"/>
        </c:scaling>
        <c:delete val="0"/>
        <c:axPos val="l"/>
        <c:majorGridlines/>
        <c:numFmt formatCode="#\ ##0.00\ &quot;€&quot;" sourceLinked="1"/>
        <c:majorTickMark val="out"/>
        <c:minorTickMark val="none"/>
        <c:tickLblPos val="nextTo"/>
        <c:crossAx val="12944588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'2022'!$B$23</c:f>
              <c:strCache>
                <c:ptCount val="1"/>
                <c:pt idx="0">
                  <c:v>Saldo</c:v>
                </c:pt>
              </c:strCache>
            </c:strRef>
          </c:tx>
          <c:trendline>
            <c:trendlineType val="poly"/>
            <c:order val="2"/>
            <c:dispRSqr val="0"/>
            <c:dispEq val="0"/>
          </c:trendline>
          <c:yVal>
            <c:numRef>
              <c:f>'2022'!$C$23:$N$23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323.85000000000002</c:v>
                </c:pt>
                <c:pt idx="9">
                  <c:v>323.85000000000002</c:v>
                </c:pt>
                <c:pt idx="10">
                  <c:v>323.85000000000002</c:v>
                </c:pt>
                <c:pt idx="11">
                  <c:v>323.85000000000002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9AC-4DA4-A62E-4FD25EC701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454592"/>
        <c:axId val="128455168"/>
      </c:scatterChart>
      <c:valAx>
        <c:axId val="128454592"/>
        <c:scaling>
          <c:orientation val="minMax"/>
        </c:scaling>
        <c:delete val="0"/>
        <c:axPos val="b"/>
        <c:majorTickMark val="out"/>
        <c:minorTickMark val="none"/>
        <c:tickLblPos val="nextTo"/>
        <c:crossAx val="128455168"/>
        <c:crosses val="autoZero"/>
        <c:crossBetween val="midCat"/>
      </c:valAx>
      <c:valAx>
        <c:axId val="128455168"/>
        <c:scaling>
          <c:orientation val="minMax"/>
        </c:scaling>
        <c:delete val="0"/>
        <c:axPos val="l"/>
        <c:majorGridlines/>
        <c:numFmt formatCode="#\ ##0.00\ &quot;€&quot;" sourceLinked="1"/>
        <c:majorTickMark val="out"/>
        <c:minorTickMark val="none"/>
        <c:tickLblPos val="nextTo"/>
        <c:crossAx val="128454592"/>
        <c:crosses val="autoZero"/>
        <c:crossBetween val="midCat"/>
      </c:valAx>
    </c:plotArea>
    <c:plotVisOnly val="1"/>
    <c:dispBlanksAs val="gap"/>
    <c:showDLblsOverMax val="0"/>
  </c:chart>
  <c:spPr>
    <a:solidFill>
      <a:schemeClr val="lt1"/>
    </a:solidFill>
    <a:ln w="25400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size">
        <cx:f>_xlchart.v1.2</cx:f>
      </cx:numDim>
    </cx:data>
  </cx:chartData>
  <cx:chart>
    <cx:title pos="t" align="ctr" overlay="0">
      <cx:tx>
        <cx:txData>
          <cx:v>Total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8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r>
            <a:rPr kumimoji="0" lang="en-US" sz="1800" b="1" i="0" u="none" strike="noStrike" kern="120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</a:rPr>
            <a:t>Total</a:t>
          </a:r>
        </a:p>
      </cx:txPr>
    </cx:title>
    <cx:plotArea>
      <cx:plotAreaRegion>
        <cx:series layoutId="sunburst" uniqueId="{7DA2EB92-AE66-4714-9777-E7F790F823D7}">
          <cx:tx>
            <cx:txData>
              <cx:f>_xlchart.v1.1</cx:f>
              <cx:v>Total</cx:v>
            </cx:txData>
          </cx:tx>
          <cx:dataLabels pos="inEnd">
            <cx:visibility seriesName="0" categoryName="1" value="0"/>
          </cx:dataLabels>
          <cx:dataId val="0"/>
          <cx:layoutPr>
            <cx:parentLabelLayout val="overlapping"/>
          </cx:layoutPr>
        </cx:series>
      </cx:plotAreaRegion>
    </cx:plotArea>
    <cx:legend pos="t" align="ctr" overlay="0"/>
  </cx:chart>
</cx:chartSpace>
</file>

<file path=xl/charts/colors1.xml><?xml version="1.0" encoding="utf-8"?>
<cs:colorStyle xmlns:cs="http://schemas.microsoft.com/office/drawing/2012/chartStyle" xmlns:a="http://schemas.openxmlformats.org/drawingml/2006/main" meth="withinLinear" id="7">
  <a:schemeClr val="accent5"/>
  <a:schemeClr val="accent5"/>
  <a:schemeClr val="accent5"/>
  <a:schemeClr val="accent5"/>
  <a:schemeClr val="accent5"/>
  <a:schemeClr val="accent5"/>
</cs:colorStyle>
</file>

<file path=xl/charts/style1.xml><?xml version="1.0" encoding="utf-8"?>
<cs:chartStyle xmlns:cs="http://schemas.microsoft.com/office/drawing/2012/chartStyle" xmlns:a="http://schemas.openxmlformats.org/drawingml/2006/main" id="417">
  <cs:axisTitle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bg1">
          <a:lumMod val="65000"/>
        </a:schemeClr>
      </a:solidFill>
      <a:ln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/>
  </cs:chartArea>
  <cs:dataLabel>
    <cs:lnRef idx="0"/>
    <cs:fillRef idx="0"/>
    <cs:effectRef idx="0"/>
    <cs:fontRef idx="minor">
      <a:schemeClr val="lt1"/>
    </cs:fontRef>
    <cs:defRPr sz="900" b="1"/>
    <cs:bodyPr lIns="38100" tIns="19050" rIns="38100" bIns="19050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  <a:lumOff val="10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/>
  </cs:seriesAxis>
  <cs:seriesLine>
    <cs:lnRef idx="0"/>
    <cs:fillRef idx="0"/>
    <cs:effectRef idx="0"/>
    <cs:fontRef idx="minor">
      <a:schemeClr val="dk1"/>
    </cs:fontRef>
    <cs:spPr>
      <a:ln w="9525" cap="flat">
        <a:solidFill>
          <a:schemeClr val="bg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microsoft.com/office/2014/relationships/chartEx" Target="../charts/chartEx1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30</xdr:row>
      <xdr:rowOff>1</xdr:rowOff>
    </xdr:from>
    <xdr:to>
      <xdr:col>16</xdr:col>
      <xdr:colOff>0</xdr:colOff>
      <xdr:row>48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1</xdr:colOff>
      <xdr:row>1</xdr:row>
      <xdr:rowOff>0</xdr:rowOff>
    </xdr:from>
    <xdr:to>
      <xdr:col>35</xdr:col>
      <xdr:colOff>0</xdr:colOff>
      <xdr:row>44</xdr:row>
      <xdr:rowOff>190499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096626" y="333375"/>
              <a:ext cx="10787062" cy="833437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PT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</xdr:col>
      <xdr:colOff>0</xdr:colOff>
      <xdr:row>49</xdr:row>
      <xdr:rowOff>0</xdr:rowOff>
    </xdr:from>
    <xdr:to>
      <xdr:col>16</xdr:col>
      <xdr:colOff>0</xdr:colOff>
      <xdr:row>67</xdr:row>
      <xdr:rowOff>79771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blGanhos" displayName="tblGanhos" ref="B25:P29" totalsRowCount="1" headerRowDxfId="175" dataDxfId="174" totalsRowDxfId="173">
  <tableColumns count="15">
    <tableColumn id="1" xr3:uid="{00000000-0010-0000-0000-000001000000}" name="Categoria" totalsRowLabel="Total" dataDxfId="172" totalsRowDxfId="171"/>
    <tableColumn id="2" xr3:uid="{00000000-0010-0000-0000-000002000000}" name="Jan" totalsRowFunction="sum" dataDxfId="170" totalsRowDxfId="169"/>
    <tableColumn id="3" xr3:uid="{00000000-0010-0000-0000-000003000000}" name="Fev" totalsRowFunction="sum" dataDxfId="168" totalsRowDxfId="167"/>
    <tableColumn id="4" xr3:uid="{00000000-0010-0000-0000-000004000000}" name="Mar" totalsRowFunction="sum" dataDxfId="166" totalsRowDxfId="165"/>
    <tableColumn id="5" xr3:uid="{00000000-0010-0000-0000-000005000000}" name="Abr" totalsRowFunction="sum" dataDxfId="164" totalsRowDxfId="163"/>
    <tableColumn id="6" xr3:uid="{00000000-0010-0000-0000-000006000000}" name="Mai" totalsRowFunction="sum" dataDxfId="162" totalsRowDxfId="161"/>
    <tableColumn id="7" xr3:uid="{00000000-0010-0000-0000-000007000000}" name="Jun" totalsRowFunction="sum" dataDxfId="160" totalsRowDxfId="159"/>
    <tableColumn id="8" xr3:uid="{00000000-0010-0000-0000-000008000000}" name="Jul" totalsRowFunction="sum" dataDxfId="158" totalsRowDxfId="157"/>
    <tableColumn id="9" xr3:uid="{00000000-0010-0000-0000-000009000000}" name="Ago" totalsRowFunction="sum" dataDxfId="156" totalsRowDxfId="155"/>
    <tableColumn id="10" xr3:uid="{00000000-0010-0000-0000-00000A000000}" name="Set" totalsRowFunction="sum" dataDxfId="154" totalsRowDxfId="153"/>
    <tableColumn id="11" xr3:uid="{00000000-0010-0000-0000-00000B000000}" name="Out" totalsRowFunction="sum" dataDxfId="152" totalsRowDxfId="151"/>
    <tableColumn id="12" xr3:uid="{00000000-0010-0000-0000-00000C000000}" name="Nov" totalsRowFunction="sum" dataDxfId="150" totalsRowDxfId="149"/>
    <tableColumn id="13" xr3:uid="{00000000-0010-0000-0000-00000D000000}" name="Dez" totalsRowFunction="sum" dataDxfId="148" totalsRowDxfId="147"/>
    <tableColumn id="16" xr3:uid="{00000000-0010-0000-0000-000010000000}" name="Total" totalsRowFunction="sum" dataDxfId="146" totalsRowDxfId="145" dataCellStyle="Normal">
      <calculatedColumnFormula>SUM(tblGanhos[[#This Row],[Jan]:[Dez]])</calculatedColumnFormula>
    </tableColumn>
    <tableColumn id="17" xr3:uid="{00000000-0010-0000-0000-000011000000}" name="Trends" dataDxfId="144" totalsRowDxfId="143"/>
  </tableColumns>
  <tableStyleInfo name="TableStyleMedium9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tblDespesas" displayName="tblDespesas" ref="B2:P20" totalsRowCount="1" headerRowDxfId="28">
  <tableColumns count="15">
    <tableColumn id="1" xr3:uid="{00000000-0010-0000-0100-000001000000}" name="Categoria" totalsRowLabel="Total"/>
    <tableColumn id="2" xr3:uid="{00000000-0010-0000-0100-000002000000}" name="Jan" totalsRowFunction="sum" dataDxfId="27" totalsRowDxfId="13">
      <calculatedColumnFormula>Jan!J2</calculatedColumnFormula>
    </tableColumn>
    <tableColumn id="3" xr3:uid="{00000000-0010-0000-0100-000003000000}" name="Fev" totalsRowFunction="sum" dataDxfId="26" totalsRowDxfId="12">
      <calculatedColumnFormula>Fev!J2</calculatedColumnFormula>
    </tableColumn>
    <tableColumn id="4" xr3:uid="{00000000-0010-0000-0100-000004000000}" name="Mar" totalsRowFunction="sum" dataDxfId="25" totalsRowDxfId="11">
      <calculatedColumnFormula>Mar!J2</calculatedColumnFormula>
    </tableColumn>
    <tableColumn id="5" xr3:uid="{00000000-0010-0000-0100-000005000000}" name="Abr" totalsRowFunction="sum" dataDxfId="24" totalsRowDxfId="10">
      <calculatedColumnFormula>Abr!J2</calculatedColumnFormula>
    </tableColumn>
    <tableColumn id="6" xr3:uid="{00000000-0010-0000-0100-000006000000}" name="Mai" totalsRowFunction="sum" dataDxfId="23" totalsRowDxfId="9">
      <calculatedColumnFormula>Mai!J2</calculatedColumnFormula>
    </tableColumn>
    <tableColumn id="7" xr3:uid="{00000000-0010-0000-0100-000007000000}" name="Jun" totalsRowFunction="sum" dataDxfId="22" totalsRowDxfId="8">
      <calculatedColumnFormula>Jun!J2</calculatedColumnFormula>
    </tableColumn>
    <tableColumn id="8" xr3:uid="{00000000-0010-0000-0100-000008000000}" name="Jul" totalsRowFunction="sum" dataDxfId="21" totalsRowDxfId="7">
      <calculatedColumnFormula>Jul!J2</calculatedColumnFormula>
    </tableColumn>
    <tableColumn id="9" xr3:uid="{00000000-0010-0000-0100-000009000000}" name="Ago" totalsRowFunction="sum" dataDxfId="20" totalsRowDxfId="6">
      <calculatedColumnFormula>Ago!J2</calculatedColumnFormula>
    </tableColumn>
    <tableColumn id="10" xr3:uid="{00000000-0010-0000-0100-00000A000000}" name="Set" totalsRowFunction="sum" dataDxfId="19" totalsRowDxfId="5">
      <calculatedColumnFormula>Set!J2</calculatedColumnFormula>
    </tableColumn>
    <tableColumn id="11" xr3:uid="{00000000-0010-0000-0100-00000B000000}" name="Out" totalsRowFunction="sum" dataDxfId="18" totalsRowDxfId="4">
      <calculatedColumnFormula>Out!J2</calculatedColumnFormula>
    </tableColumn>
    <tableColumn id="12" xr3:uid="{00000000-0010-0000-0100-00000C000000}" name="Nov" totalsRowFunction="sum" dataDxfId="17" totalsRowDxfId="3">
      <calculatedColumnFormula>Nov!J2</calculatedColumnFormula>
    </tableColumn>
    <tableColumn id="13" xr3:uid="{00000000-0010-0000-0100-00000D000000}" name="Dez" totalsRowFunction="sum" dataDxfId="16" totalsRowDxfId="2">
      <calculatedColumnFormula>Dez!J2</calculatedColumnFormula>
    </tableColumn>
    <tableColumn id="16" xr3:uid="{00000000-0010-0000-0100-000010000000}" name="Total" totalsRowFunction="sum" dataDxfId="15" totalsRowDxfId="1" dataCellStyle="Normal">
      <calculatedColumnFormula>SUM(tblDespesas[[#This Row],[Jan]:[Dez]])</calculatedColumnFormula>
    </tableColumn>
    <tableColumn id="17" xr3:uid="{00000000-0010-0000-0100-000011000000}" name="Trends" dataDxfId="14" totalsRowDxfId="0"/>
  </tableColumns>
  <tableStyleInfo name="TableStyleMedium9" showFirstColumn="1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2000000}" name="Table6" displayName="Table6" ref="B22:N23" headerRowCount="0" totalsRowShown="0" headerRowDxfId="142">
  <tableColumns count="13">
    <tableColumn id="1" xr3:uid="{00000000-0010-0000-0200-000001000000}" name="Column1"/>
    <tableColumn id="2" xr3:uid="{00000000-0010-0000-0200-000002000000}" name="Column2" headerRowDxfId="141">
      <calculatedColumnFormula>C22</calculatedColumnFormula>
    </tableColumn>
    <tableColumn id="3" xr3:uid="{00000000-0010-0000-0200-000003000000}" name="Column3" headerRowDxfId="140">
      <calculatedColumnFormula>C23+D22</calculatedColumnFormula>
    </tableColumn>
    <tableColumn id="4" xr3:uid="{00000000-0010-0000-0200-000004000000}" name="Column4" headerRowDxfId="139">
      <calculatedColumnFormula>D23+E22</calculatedColumnFormula>
    </tableColumn>
    <tableColumn id="5" xr3:uid="{00000000-0010-0000-0200-000005000000}" name="Column5" headerRowDxfId="138">
      <calculatedColumnFormula>E23+F22</calculatedColumnFormula>
    </tableColumn>
    <tableColumn id="6" xr3:uid="{00000000-0010-0000-0200-000006000000}" name="Column6" headerRowDxfId="137">
      <calculatedColumnFormula>F23+G22</calculatedColumnFormula>
    </tableColumn>
    <tableColumn id="7" xr3:uid="{00000000-0010-0000-0200-000007000000}" name="Column7" headerRowDxfId="136">
      <calculatedColumnFormula>G23+H22</calculatedColumnFormula>
    </tableColumn>
    <tableColumn id="8" xr3:uid="{00000000-0010-0000-0200-000008000000}" name="Column8" headerRowDxfId="135">
      <calculatedColumnFormula>H23+I22</calculatedColumnFormula>
    </tableColumn>
    <tableColumn id="9" xr3:uid="{00000000-0010-0000-0200-000009000000}" name="Column9" headerRowDxfId="134">
      <calculatedColumnFormula>I23+J22</calculatedColumnFormula>
    </tableColumn>
    <tableColumn id="10" xr3:uid="{00000000-0010-0000-0200-00000A000000}" name="Column10" headerRowDxfId="133">
      <calculatedColumnFormula>J23+K22</calculatedColumnFormula>
    </tableColumn>
    <tableColumn id="11" xr3:uid="{00000000-0010-0000-0200-00000B000000}" name="Column11" headerRowDxfId="132">
      <calculatedColumnFormula>K23+L22</calculatedColumnFormula>
    </tableColumn>
    <tableColumn id="12" xr3:uid="{00000000-0010-0000-0200-00000C000000}" name="Column12" headerRowDxfId="131">
      <calculatedColumnFormula>L23+M22</calculatedColumnFormula>
    </tableColumn>
    <tableColumn id="13" xr3:uid="{00000000-0010-0000-0200-00000D000000}" name="Column13" headerRowDxfId="130">
      <calculatedColumnFormula>M23+N22</calculatedColumnFormula>
    </tableColumn>
  </tableColumns>
  <tableStyleInfo name="TableStyleMedium9" showFirstColumn="1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3000000}" name="tblJaneiro" displayName="tblJaneiro" ref="A1:G3" totalsRowShown="0" headerRowDxfId="129">
  <autoFilter ref="A1:G3" xr:uid="{00000000-0009-0000-0100-000001000000}"/>
  <sortState xmlns:xlrd2="http://schemas.microsoft.com/office/spreadsheetml/2017/richdata2" ref="A2:G36">
    <sortCondition ref="C1:C36"/>
  </sortState>
  <tableColumns count="7">
    <tableColumn id="1" xr3:uid="{00000000-0010-0000-0300-000001000000}" name="Categoria"/>
    <tableColumn id="2" xr3:uid="{00000000-0010-0000-0300-000002000000}" name="Valor" dataDxfId="128">
      <calculatedColumnFormula>tblJaneiro[[#This Row],[Débito]]</calculatedColumnFormula>
    </tableColumn>
    <tableColumn id="3" xr3:uid="{00000000-0010-0000-0300-000003000000}" name="Data" dataDxfId="127"/>
    <tableColumn id="4" xr3:uid="{00000000-0010-0000-0300-000004000000}" name="Descrição" dataDxfId="126"/>
    <tableColumn id="5" xr3:uid="{00000000-0010-0000-0300-000005000000}" name="Débito" dataDxfId="125"/>
    <tableColumn id="6" xr3:uid="{00000000-0010-0000-0300-000006000000}" name="Crédito" dataDxfId="124"/>
    <tableColumn id="7" xr3:uid="{00000000-0010-0000-0300-000007000000}" name="Categoria #2" dataDxfId="123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4000000}" name="Tabela3" displayName="Tabela3" ref="I1:J19" totalsRowCount="1" headerRowDxfId="122">
  <autoFilter ref="I1:J18" xr:uid="{00000000-0009-0000-0100-000003000000}"/>
  <tableColumns count="2">
    <tableColumn id="1" xr3:uid="{00000000-0010-0000-0400-000001000000}" name="Categoria" totalsRowLabel="Total"/>
    <tableColumn id="2" xr3:uid="{00000000-0010-0000-0400-000002000000}" name="Total" totalsRowFunction="sum">
      <calculatedColumnFormula>SUMIF(tblJaneiro[Categoria],Tabela3[[#This Row],[Categoria]],tblJaneiro[Valor])</calculatedColumnFormula>
    </tableColumn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5000000}" name="tblJaneiro12" displayName="tblJaneiro12" ref="A1:G3" totalsRowShown="0" headerRowDxfId="121">
  <autoFilter ref="A1:G3" xr:uid="{00000000-0009-0000-0100-00000B000000}"/>
  <sortState xmlns:xlrd2="http://schemas.microsoft.com/office/spreadsheetml/2017/richdata2" ref="A2:G36">
    <sortCondition ref="C1:C36"/>
  </sortState>
  <tableColumns count="7">
    <tableColumn id="1" xr3:uid="{00000000-0010-0000-0500-000001000000}" name="Categoria"/>
    <tableColumn id="2" xr3:uid="{00000000-0010-0000-0500-000002000000}" name="Valor" dataDxfId="120"/>
    <tableColumn id="3" xr3:uid="{00000000-0010-0000-0500-000003000000}" name="Data" dataDxfId="119"/>
    <tableColumn id="4" xr3:uid="{00000000-0010-0000-0500-000004000000}" name="Descrição" dataDxfId="118"/>
    <tableColumn id="5" xr3:uid="{00000000-0010-0000-0500-000005000000}" name="Débito" dataDxfId="117"/>
    <tableColumn id="6" xr3:uid="{00000000-0010-0000-0500-000006000000}" name="Crédito" dataDxfId="116"/>
    <tableColumn id="7" xr3:uid="{00000000-0010-0000-0500-000007000000}" name="Categoria #2" dataDxfId="115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6000000}" name="Tabela313" displayName="Tabela313" ref="I1:J19" totalsRowCount="1" headerRowDxfId="114">
  <autoFilter ref="I1:J18" xr:uid="{00000000-0009-0000-0100-00000C000000}"/>
  <tableColumns count="2">
    <tableColumn id="1" xr3:uid="{00000000-0010-0000-0600-000001000000}" name="Categoria" totalsRowLabel="Total"/>
    <tableColumn id="2" xr3:uid="{00000000-0010-0000-0600-000002000000}" name="Total" totalsRowFunction="sum">
      <calculatedColumnFormula>SUMIF(tblJaneiro12[Categoria],Tabela313[[#This Row],[Categoria]],tblJaneiro12[Valor])</calculatedColumnFormula>
    </tableColumn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7000000}" name="tblJaneiro1214" displayName="tblJaneiro1214" ref="A1:G52" totalsRowShown="0" headerRowDxfId="113">
  <autoFilter ref="A1:G52" xr:uid="{00000000-0009-0000-0100-00000D000000}"/>
  <sortState xmlns:xlrd2="http://schemas.microsoft.com/office/spreadsheetml/2017/richdata2" ref="A2:G36">
    <sortCondition ref="C1:C36"/>
  </sortState>
  <tableColumns count="7">
    <tableColumn id="1" xr3:uid="{00000000-0010-0000-0700-000001000000}" name="Categoria"/>
    <tableColumn id="2" xr3:uid="{00000000-0010-0000-0700-000002000000}" name="Valor" dataDxfId="112"/>
    <tableColumn id="3" xr3:uid="{00000000-0010-0000-0700-000003000000}" name="Data" dataDxfId="111"/>
    <tableColumn id="4" xr3:uid="{00000000-0010-0000-0700-000004000000}" name="Descrição" dataDxfId="110"/>
    <tableColumn id="5" xr3:uid="{00000000-0010-0000-0700-000005000000}" name="Débito" dataDxfId="109"/>
    <tableColumn id="6" xr3:uid="{00000000-0010-0000-0700-000006000000}" name="Crédito" dataDxfId="108"/>
    <tableColumn id="7" xr3:uid="{00000000-0010-0000-0700-000007000000}" name="Categoria #2" dataDxfId="107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8000000}" name="Tabela31315" displayName="Tabela31315" ref="I1:J19" totalsRowCount="1" headerRowDxfId="106">
  <autoFilter ref="I1:J18" xr:uid="{00000000-0009-0000-0100-00000E000000}"/>
  <tableColumns count="2">
    <tableColumn id="1" xr3:uid="{00000000-0010-0000-0800-000001000000}" name="Categoria" totalsRowLabel="Total"/>
    <tableColumn id="2" xr3:uid="{00000000-0010-0000-0800-000002000000}" name="Total" totalsRowFunction="sum">
      <calculatedColumnFormula>SUMIF(tblJaneiro1214[Categoria],Tabela31315[[#This Row],[Categoria]],tblJaneiro1214[Valor])</calculatedColumnFormula>
    </tableColumn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9000000}" name="tblJaneiro121416" displayName="tblJaneiro121416" ref="A1:G63" totalsRowShown="0" headerRowDxfId="105">
  <autoFilter ref="A1:G63" xr:uid="{00000000-0009-0000-0100-00000F000000}"/>
  <sortState xmlns:xlrd2="http://schemas.microsoft.com/office/spreadsheetml/2017/richdata2" ref="A2:G36">
    <sortCondition ref="C1:C36"/>
  </sortState>
  <tableColumns count="7">
    <tableColumn id="1" xr3:uid="{00000000-0010-0000-0900-000001000000}" name="Categoria"/>
    <tableColumn id="2" xr3:uid="{00000000-0010-0000-0900-000002000000}" name="Valor" dataDxfId="104"/>
    <tableColumn id="3" xr3:uid="{00000000-0010-0000-0900-000003000000}" name="Data" dataDxfId="103"/>
    <tableColumn id="4" xr3:uid="{00000000-0010-0000-0900-000004000000}" name="Descrição" dataDxfId="102"/>
    <tableColumn id="5" xr3:uid="{00000000-0010-0000-0900-000005000000}" name="Débito" dataDxfId="101"/>
    <tableColumn id="6" xr3:uid="{00000000-0010-0000-0900-000006000000}" name="Crédito" dataDxfId="100"/>
    <tableColumn id="7" xr3:uid="{00000000-0010-0000-0900-000007000000}" name="Categoria #2" dataDxfId="99"/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A000000}" name="Tabela3131517" displayName="Tabela3131517" ref="I1:J19" totalsRowCount="1" headerRowDxfId="98">
  <autoFilter ref="I1:J18" xr:uid="{00000000-0009-0000-0100-000010000000}"/>
  <tableColumns count="2">
    <tableColumn id="1" xr3:uid="{00000000-0010-0000-0A00-000001000000}" name="Categoria" totalsRowLabel="Total"/>
    <tableColumn id="2" xr3:uid="{00000000-0010-0000-0A00-000002000000}" name="Total" totalsRowFunction="sum">
      <calculatedColumnFormula>SUMIF(tblJaneiro121416[Categoria],Tabela3131517[[#This Row],[Categoria]],tblJaneiro121416[Valor])</calculatedColumnFormula>
    </tableColumn>
  </tableColumns>
  <tableStyleInfo name="TableStyleLight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B000000}" name="tblJaneiro12141618" displayName="tblJaneiro12141618" ref="A1:G80" totalsRowShown="0" headerRowDxfId="97">
  <autoFilter ref="A1:G80" xr:uid="{00000000-0009-0000-0100-000011000000}"/>
  <sortState xmlns:xlrd2="http://schemas.microsoft.com/office/spreadsheetml/2017/richdata2" ref="A2:G36">
    <sortCondition ref="C1:C36"/>
  </sortState>
  <tableColumns count="7">
    <tableColumn id="1" xr3:uid="{00000000-0010-0000-0B00-000001000000}" name="Categoria"/>
    <tableColumn id="2" xr3:uid="{00000000-0010-0000-0B00-000002000000}" name="Valor" dataDxfId="96"/>
    <tableColumn id="3" xr3:uid="{00000000-0010-0000-0B00-000003000000}" name="Data" dataDxfId="95"/>
    <tableColumn id="4" xr3:uid="{00000000-0010-0000-0B00-000004000000}" name="Descrição" dataDxfId="94"/>
    <tableColumn id="5" xr3:uid="{00000000-0010-0000-0B00-000005000000}" name="Débito" dataDxfId="93"/>
    <tableColumn id="6" xr3:uid="{00000000-0010-0000-0B00-000006000000}" name="Crédito" dataDxfId="92"/>
    <tableColumn id="7" xr3:uid="{00000000-0010-0000-0B00-000007000000}" name="Categoria #2" dataDxfId="91"/>
  </tableColumns>
  <tableStyleInfo name="TableStyleLight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C000000}" name="Tabela313151719" displayName="Tabela313151719" ref="I1:J19" totalsRowCount="1" headerRowDxfId="90">
  <autoFilter ref="I1:J18" xr:uid="{00000000-0009-0000-0100-000012000000}"/>
  <tableColumns count="2">
    <tableColumn id="1" xr3:uid="{00000000-0010-0000-0C00-000001000000}" name="Categoria" totalsRowLabel="Total"/>
    <tableColumn id="2" xr3:uid="{00000000-0010-0000-0C00-000002000000}" name="Total" totalsRowFunction="sum">
      <calculatedColumnFormula>SUMIF(tblJaneiro12141618[Categoria],Tabela313151719[[#This Row],[Categoria]],tblJaneiro12141618[Valor])</calculatedColumnFormula>
    </tableColumn>
  </tableColumns>
  <tableStyleInfo name="TableStyleLight9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D000000}" name="tblJaneiro1214161820" displayName="tblJaneiro1214161820" ref="A1:G85" totalsRowShown="0" headerRowDxfId="89">
  <autoFilter ref="A1:G85" xr:uid="{00000000-0009-0000-0100-000013000000}"/>
  <sortState xmlns:xlrd2="http://schemas.microsoft.com/office/spreadsheetml/2017/richdata2" ref="A2:G36">
    <sortCondition ref="C1:C36"/>
  </sortState>
  <tableColumns count="7">
    <tableColumn id="1" xr3:uid="{00000000-0010-0000-0D00-000001000000}" name="Categoria"/>
    <tableColumn id="2" xr3:uid="{00000000-0010-0000-0D00-000002000000}" name="Valor" dataDxfId="88"/>
    <tableColumn id="3" xr3:uid="{00000000-0010-0000-0D00-000003000000}" name="Data" dataDxfId="87"/>
    <tableColumn id="4" xr3:uid="{00000000-0010-0000-0D00-000004000000}" name="Descrição" dataDxfId="86"/>
    <tableColumn id="5" xr3:uid="{00000000-0010-0000-0D00-000005000000}" name="Débito" dataDxfId="85"/>
    <tableColumn id="6" xr3:uid="{00000000-0010-0000-0D00-000006000000}" name="Crédito" dataDxfId="84"/>
    <tableColumn id="7" xr3:uid="{00000000-0010-0000-0D00-000007000000}" name="Categoria #2" dataDxfId="83"/>
  </tableColumns>
  <tableStyleInfo name="TableStyleLight9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E000000}" name="Tabela31315171921" displayName="Tabela31315171921" ref="I1:J19" totalsRowCount="1" headerRowDxfId="82">
  <autoFilter ref="I1:J18" xr:uid="{00000000-0009-0000-0100-000014000000}"/>
  <tableColumns count="2">
    <tableColumn id="1" xr3:uid="{00000000-0010-0000-0E00-000001000000}" name="Categoria" totalsRowLabel="Total"/>
    <tableColumn id="2" xr3:uid="{00000000-0010-0000-0E00-000002000000}" name="Total" totalsRowFunction="sum">
      <calculatedColumnFormula>SUMIF(tblJaneiro1214161820[Categoria],Tabela31315171921[[#This Row],[Categoria]],tblJaneiro1214161820[Valor])</calculatedColumnFormula>
    </tableColumn>
  </tableColumns>
  <tableStyleInfo name="TableStyleLight9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F000000}" name="tblJaneiro121416182022" displayName="tblJaneiro121416182022" ref="A1:G69" totalsRowShown="0" headerRowDxfId="81">
  <autoFilter ref="A1:G69" xr:uid="{00000000-0009-0000-0100-000015000000}"/>
  <sortState xmlns:xlrd2="http://schemas.microsoft.com/office/spreadsheetml/2017/richdata2" ref="A2:G36">
    <sortCondition ref="C1:C36"/>
  </sortState>
  <tableColumns count="7">
    <tableColumn id="1" xr3:uid="{00000000-0010-0000-0F00-000001000000}" name="Categoria"/>
    <tableColumn id="2" xr3:uid="{00000000-0010-0000-0F00-000002000000}" name="Valor" dataDxfId="80"/>
    <tableColumn id="3" xr3:uid="{00000000-0010-0000-0F00-000003000000}" name="Data" dataDxfId="79"/>
    <tableColumn id="4" xr3:uid="{00000000-0010-0000-0F00-000004000000}" name="Descrição" dataDxfId="78"/>
    <tableColumn id="5" xr3:uid="{00000000-0010-0000-0F00-000005000000}" name="Débito" dataDxfId="77"/>
    <tableColumn id="6" xr3:uid="{00000000-0010-0000-0F00-000006000000}" name="Crédito" dataDxfId="76"/>
    <tableColumn id="7" xr3:uid="{00000000-0010-0000-0F00-000007000000}" name="Categoria #2" dataDxfId="75"/>
  </tableColumns>
  <tableStyleInfo name="TableStyleLight9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0000000}" name="Tabela3131517192123" displayName="Tabela3131517192123" ref="I1:J19" totalsRowCount="1" headerRowDxfId="74">
  <autoFilter ref="I1:J18" xr:uid="{00000000-0009-0000-0100-000016000000}"/>
  <tableColumns count="2">
    <tableColumn id="1" xr3:uid="{00000000-0010-0000-1000-000001000000}" name="Categoria" totalsRowLabel="Total"/>
    <tableColumn id="2" xr3:uid="{00000000-0010-0000-1000-000002000000}" name="Total" totalsRowFunction="sum">
      <calculatedColumnFormula>SUMIF(tblJaneiro121416182022[Categoria],Tabela3131517192123[[#This Row],[Categoria]],tblJaneiro121416182022[Valor])</calculatedColumnFormula>
    </tableColumn>
  </tableColumns>
  <tableStyleInfo name="TableStyleLight9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11000000}" name="tblJaneiro1214161820226" displayName="tblJaneiro1214161820226" ref="A1:G73" totalsRowShown="0" headerRowDxfId="73">
  <autoFilter ref="A1:G73" xr:uid="{00000000-0009-0000-0100-000005000000}"/>
  <sortState xmlns:xlrd2="http://schemas.microsoft.com/office/spreadsheetml/2017/richdata2" ref="A2:G36">
    <sortCondition ref="C1:C36"/>
  </sortState>
  <tableColumns count="7">
    <tableColumn id="1" xr3:uid="{00000000-0010-0000-1100-000001000000}" name="Categoria"/>
    <tableColumn id="2" xr3:uid="{00000000-0010-0000-1100-000002000000}" name="Valor" dataDxfId="72"/>
    <tableColumn id="3" xr3:uid="{00000000-0010-0000-1100-000003000000}" name="Data" dataDxfId="71"/>
    <tableColumn id="4" xr3:uid="{00000000-0010-0000-1100-000004000000}" name="Descrição" dataDxfId="70"/>
    <tableColumn id="5" xr3:uid="{00000000-0010-0000-1100-000005000000}" name="Débito" dataDxfId="69"/>
    <tableColumn id="6" xr3:uid="{00000000-0010-0000-1100-000006000000}" name="Crédito" dataDxfId="68"/>
    <tableColumn id="7" xr3:uid="{00000000-0010-0000-1100-000007000000}" name="Categoria #2" dataDxfId="67"/>
  </tableColumns>
  <tableStyleInfo name="TableStyleLight9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12000000}" name="Tabela31315171921238" displayName="Tabela31315171921238" ref="I1:J19" totalsRowCount="1" headerRowDxfId="66">
  <autoFilter ref="I1:J18" xr:uid="{00000000-0009-0000-0100-000007000000}"/>
  <tableColumns count="2">
    <tableColumn id="1" xr3:uid="{00000000-0010-0000-1200-000001000000}" name="Categoria" totalsRowLabel="Total"/>
    <tableColumn id="2" xr3:uid="{00000000-0010-0000-1200-000002000000}" name="Total" totalsRowFunction="sum" totalsRowDxfId="65">
      <calculatedColumnFormula>SUMIF(tblJaneiro1214161820226[Categoria],Tabela31315171921238[[#This Row],[Categoria]],tblJaneiro1214161820226[Valor])</calculatedColumnFormula>
    </tableColumn>
  </tableColumns>
  <tableStyleInfo name="TableStyleLight9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13000000}" name="tbl_setembro" displayName="tbl_setembro" ref="A1:G72" totalsRowShown="0" headerRowDxfId="64">
  <autoFilter ref="A1:G72" xr:uid="{00000000-0009-0000-0100-000008000000}"/>
  <sortState xmlns:xlrd2="http://schemas.microsoft.com/office/spreadsheetml/2017/richdata2" ref="A2:G36">
    <sortCondition ref="C1:C36"/>
  </sortState>
  <tableColumns count="7">
    <tableColumn id="1" xr3:uid="{00000000-0010-0000-1300-000001000000}" name="Categoria"/>
    <tableColumn id="2" xr3:uid="{00000000-0010-0000-1300-000002000000}" name="Valor" dataDxfId="63"/>
    <tableColumn id="3" xr3:uid="{00000000-0010-0000-1300-000003000000}" name="Data" dataDxfId="62"/>
    <tableColumn id="4" xr3:uid="{00000000-0010-0000-1300-000004000000}" name="Descrição" dataDxfId="61"/>
    <tableColumn id="5" xr3:uid="{00000000-0010-0000-1300-000005000000}" name="Débito" dataDxfId="60"/>
    <tableColumn id="6" xr3:uid="{00000000-0010-0000-1300-000006000000}" name="Crédito" dataDxfId="59"/>
    <tableColumn id="7" xr3:uid="{00000000-0010-0000-1300-000007000000}" name="Categoria #2" dataDxfId="58"/>
  </tableColumns>
  <tableStyleInfo name="TableStyleLight9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4000000}" name="Tabela3131517192123824" displayName="Tabela3131517192123824" ref="I1:J19" totalsRowCount="1" headerRowDxfId="57">
  <autoFilter ref="I1:J18" xr:uid="{00000000-0009-0000-0100-000017000000}"/>
  <tableColumns count="2">
    <tableColumn id="1" xr3:uid="{00000000-0010-0000-1400-000001000000}" name="Categoria" totalsRowLabel="Total"/>
    <tableColumn id="2" xr3:uid="{00000000-0010-0000-1400-000002000000}" name="Total" totalsRowFunction="sum" totalsRowDxfId="56">
      <calculatedColumnFormula>SUMIF(tbl_setembro[Categoria],Tabela3131517192123824[[#This Row],[Categoria]],tbl_setembro[Valor])</calculatedColumnFormula>
    </tableColumn>
  </tableColumns>
  <tableStyleInfo name="TableStyleLight9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15000000}" name="tblJaneiro1214161820226925" displayName="tblJaneiro1214161820226925" ref="A1:G72" totalsRowShown="0" headerRowDxfId="55">
  <autoFilter ref="A1:G72" xr:uid="{00000000-0009-0000-0100-000018000000}"/>
  <sortState xmlns:xlrd2="http://schemas.microsoft.com/office/spreadsheetml/2017/richdata2" ref="A2:G36">
    <sortCondition ref="C1:C36"/>
  </sortState>
  <tableColumns count="7">
    <tableColumn id="1" xr3:uid="{00000000-0010-0000-1500-000001000000}" name="Categoria"/>
    <tableColumn id="2" xr3:uid="{00000000-0010-0000-1500-000002000000}" name="Valor" dataDxfId="54"/>
    <tableColumn id="3" xr3:uid="{00000000-0010-0000-1500-000003000000}" name="Data" dataDxfId="53"/>
    <tableColumn id="4" xr3:uid="{00000000-0010-0000-1500-000004000000}" name="Descrição" dataDxfId="52"/>
    <tableColumn id="5" xr3:uid="{00000000-0010-0000-1500-000005000000}" name="Débito" dataDxfId="51"/>
    <tableColumn id="6" xr3:uid="{00000000-0010-0000-1500-000006000000}" name="Crédito" dataDxfId="50"/>
    <tableColumn id="7" xr3:uid="{00000000-0010-0000-1500-000007000000}" name="Categoria #2" dataDxfId="49"/>
  </tableColumns>
  <tableStyleInfo name="TableStyleLight9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16000000}" name="Tabela313151719212382426" displayName="Tabela313151719212382426" ref="I1:J19" totalsRowCount="1" headerRowDxfId="48">
  <autoFilter ref="I1:J18" xr:uid="{00000000-0009-0000-0100-000019000000}"/>
  <tableColumns count="2">
    <tableColumn id="1" xr3:uid="{00000000-0010-0000-1600-000001000000}" name="Categoria" totalsRowLabel="Total"/>
    <tableColumn id="2" xr3:uid="{00000000-0010-0000-1600-000002000000}" name="Total" totalsRowFunction="sum" totalsRowDxfId="47">
      <calculatedColumnFormula>SUMIF(tblJaneiro1214161820226925[Categoria],Tabela313151719212382426[[#This Row],[Categoria]],tblJaneiro1214161820226925[Valor])</calculatedColumnFormula>
    </tableColumn>
  </tableColumns>
  <tableStyleInfo name="TableStyleLight9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17000000}" name="tblJaneiro121416182022692527" displayName="tblJaneiro121416182022692527" ref="A1:G72" totalsRowShown="0" headerRowDxfId="46">
  <autoFilter ref="A1:G72" xr:uid="{00000000-0009-0000-0100-00001A000000}"/>
  <sortState xmlns:xlrd2="http://schemas.microsoft.com/office/spreadsheetml/2017/richdata2" ref="A2:G72">
    <sortCondition ref="C1:C72"/>
  </sortState>
  <tableColumns count="7">
    <tableColumn id="1" xr3:uid="{00000000-0010-0000-1700-000001000000}" name="Categoria"/>
    <tableColumn id="2" xr3:uid="{00000000-0010-0000-1700-000002000000}" name="Valor" dataDxfId="45"/>
    <tableColumn id="3" xr3:uid="{00000000-0010-0000-1700-000003000000}" name="Data" dataDxfId="44"/>
    <tableColumn id="4" xr3:uid="{00000000-0010-0000-1700-000004000000}" name="Descrição" dataDxfId="43"/>
    <tableColumn id="5" xr3:uid="{00000000-0010-0000-1700-000005000000}" name="Débito" dataDxfId="42"/>
    <tableColumn id="6" xr3:uid="{00000000-0010-0000-1700-000006000000}" name="Crédito" dataDxfId="41"/>
    <tableColumn id="7" xr3:uid="{00000000-0010-0000-1700-000007000000}" name="Categoria #2" dataDxfId="40"/>
  </tableColumns>
  <tableStyleInfo name="TableStyleLight9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18000000}" name="Tabela31315171921238242628" displayName="Tabela31315171921238242628" ref="I1:J19" totalsRowCount="1" headerRowDxfId="39">
  <autoFilter ref="I1:J18" xr:uid="{00000000-0009-0000-0100-00001B000000}"/>
  <tableColumns count="2">
    <tableColumn id="1" xr3:uid="{00000000-0010-0000-1800-000001000000}" name="Categoria" totalsRowLabel="Total"/>
    <tableColumn id="2" xr3:uid="{00000000-0010-0000-1800-000002000000}" name="Total" totalsRowFunction="sum" totalsRowDxfId="38">
      <calculatedColumnFormula>SUMIF(tblJaneiro121416182022692527[Categoria],Tabela31315171921238242628[[#This Row],[Categoria]],tblJaneiro121416182022692527[Valor])</calculatedColumnFormula>
    </tableColumn>
  </tableColumns>
  <tableStyleInfo name="TableStyleLight9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19000000}" name="tblJaneiro12141618202269252729" displayName="tblJaneiro12141618202269252729" ref="A1:G72" totalsRowShown="0" headerRowDxfId="37">
  <autoFilter ref="A1:G72" xr:uid="{00000000-0009-0000-0100-00001C000000}"/>
  <sortState xmlns:xlrd2="http://schemas.microsoft.com/office/spreadsheetml/2017/richdata2" ref="A2:G72">
    <sortCondition ref="C1:C72"/>
  </sortState>
  <tableColumns count="7">
    <tableColumn id="1" xr3:uid="{00000000-0010-0000-1900-000001000000}" name="Categoria"/>
    <tableColumn id="2" xr3:uid="{00000000-0010-0000-1900-000002000000}" name="Valor" dataDxfId="36"/>
    <tableColumn id="3" xr3:uid="{00000000-0010-0000-1900-000003000000}" name="Data" dataDxfId="35"/>
    <tableColumn id="4" xr3:uid="{00000000-0010-0000-1900-000004000000}" name="Descrição" dataDxfId="34"/>
    <tableColumn id="5" xr3:uid="{00000000-0010-0000-1900-000005000000}" name="Débito" dataDxfId="33"/>
    <tableColumn id="6" xr3:uid="{00000000-0010-0000-1900-000006000000}" name="Crédito" dataDxfId="32"/>
    <tableColumn id="7" xr3:uid="{00000000-0010-0000-1900-000007000000}" name="Categoria #2" dataDxfId="31"/>
  </tableColumns>
  <tableStyleInfo name="TableStyleLight9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1A000000}" name="Tabela3131517192123824262830" displayName="Tabela3131517192123824262830" ref="I1:J19" totalsRowCount="1" headerRowDxfId="30">
  <autoFilter ref="I1:J18" xr:uid="{00000000-0009-0000-0100-00001D000000}"/>
  <tableColumns count="2">
    <tableColumn id="1" xr3:uid="{00000000-0010-0000-1A00-000001000000}" name="Categoria" totalsRowLabel="Total"/>
    <tableColumn id="2" xr3:uid="{00000000-0010-0000-1A00-000002000000}" name="Total" totalsRowFunction="sum" totalsRowDxfId="29">
      <calculatedColumnFormula>SUMIF(tblJaneiro12141618202269252729[Categoria],Tabela3131517192123824262830[[#This Row],[Categoria]],tblJaneiro12141618202269252729[Valor])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.xml"/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3.xml"/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5.xml"/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7.xml"/><Relationship Id="rId2" Type="http://schemas.openxmlformats.org/officeDocument/2006/relationships/table" Target="../tables/table26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P46"/>
  <sheetViews>
    <sheetView showGridLines="0" tabSelected="1" zoomScale="80" zoomScaleNormal="80" workbookViewId="0">
      <selection activeCell="S1" sqref="S1"/>
    </sheetView>
  </sheetViews>
  <sheetFormatPr defaultRowHeight="15" x14ac:dyDescent="0.25"/>
  <cols>
    <col min="1" max="1" width="2" customWidth="1"/>
    <col min="2" max="2" width="13.85546875" customWidth="1"/>
    <col min="3" max="3" width="10.28515625" style="1" customWidth="1"/>
    <col min="4" max="4" width="8.7109375" style="1" bestFit="1" customWidth="1"/>
    <col min="5" max="13" width="10.28515625" style="1" bestFit="1" customWidth="1"/>
    <col min="14" max="14" width="11" style="1" bestFit="1" customWidth="1"/>
    <col min="15" max="15" width="11.42578125" style="1" bestFit="1" customWidth="1"/>
    <col min="16" max="16" width="14.28515625" customWidth="1"/>
    <col min="17" max="17" width="1.42578125" customWidth="1"/>
    <col min="25" max="25" width="7" customWidth="1"/>
  </cols>
  <sheetData>
    <row r="1" spans="2:16" ht="26.25" x14ac:dyDescent="0.4">
      <c r="B1" s="14" t="s">
        <v>15</v>
      </c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</row>
    <row r="2" spans="2:16" x14ac:dyDescent="0.25">
      <c r="B2" t="s">
        <v>0</v>
      </c>
      <c r="C2" s="3" t="s">
        <v>3</v>
      </c>
      <c r="D2" s="3" t="s">
        <v>4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9</v>
      </c>
      <c r="J2" s="3" t="s">
        <v>10</v>
      </c>
      <c r="K2" s="3" t="s">
        <v>11</v>
      </c>
      <c r="L2" s="3" t="s">
        <v>12</v>
      </c>
      <c r="M2" s="3" t="s">
        <v>13</v>
      </c>
      <c r="N2" s="3" t="s">
        <v>14</v>
      </c>
      <c r="O2" s="3" t="s">
        <v>18</v>
      </c>
      <c r="P2" s="3" t="s">
        <v>20</v>
      </c>
    </row>
    <row r="3" spans="2:16" x14ac:dyDescent="0.25">
      <c r="B3" t="s">
        <v>45</v>
      </c>
      <c r="C3" s="3">
        <f>Jan!J2</f>
        <v>0</v>
      </c>
      <c r="D3" s="3">
        <f>Fev!J2</f>
        <v>0</v>
      </c>
      <c r="E3" s="3">
        <f>Mar!J2</f>
        <v>0</v>
      </c>
      <c r="F3" s="3">
        <f>Abr!J2</f>
        <v>0</v>
      </c>
      <c r="G3" s="3">
        <f>Mai!J2</f>
        <v>0</v>
      </c>
      <c r="H3" s="3">
        <f>Jun!J2</f>
        <v>0</v>
      </c>
      <c r="I3" s="3">
        <f>Jul!J2</f>
        <v>0</v>
      </c>
      <c r="J3" s="3">
        <f>Ago!J2</f>
        <v>0</v>
      </c>
      <c r="K3" s="3">
        <f>Set!J2</f>
        <v>0</v>
      </c>
      <c r="L3" s="3">
        <f>Out!J2</f>
        <v>0</v>
      </c>
      <c r="M3" s="3">
        <f>Nov!J2</f>
        <v>0</v>
      </c>
      <c r="N3" s="3">
        <f>Dez!J2</f>
        <v>0</v>
      </c>
      <c r="O3" s="3">
        <f>SUM(tblDespesas[[#This Row],[Jan]:[Dez]])</f>
        <v>0</v>
      </c>
      <c r="P3" s="4"/>
    </row>
    <row r="4" spans="2:16" x14ac:dyDescent="0.25">
      <c r="B4" t="s">
        <v>2</v>
      </c>
      <c r="C4" s="3">
        <f>Jan!J3</f>
        <v>0</v>
      </c>
      <c r="D4" s="3">
        <f>Fev!J3</f>
        <v>0</v>
      </c>
      <c r="E4" s="3">
        <f>Mar!J3</f>
        <v>0</v>
      </c>
      <c r="F4" s="3">
        <f>Abr!J3</f>
        <v>0</v>
      </c>
      <c r="G4" s="3">
        <f>Mai!J3</f>
        <v>0</v>
      </c>
      <c r="H4" s="3">
        <f>Jun!J3</f>
        <v>0</v>
      </c>
      <c r="I4" s="3">
        <f>Jul!J3</f>
        <v>0</v>
      </c>
      <c r="J4" s="3">
        <f>Ago!J3</f>
        <v>0</v>
      </c>
      <c r="K4" s="3">
        <f>Set!J3</f>
        <v>0</v>
      </c>
      <c r="L4" s="3">
        <f>Out!J3</f>
        <v>0</v>
      </c>
      <c r="M4" s="3">
        <f>Nov!J3</f>
        <v>0</v>
      </c>
      <c r="N4" s="3">
        <f>Dez!J3</f>
        <v>0</v>
      </c>
      <c r="O4" s="3">
        <f>SUM(tblDespesas[[#This Row],[Jan]:[Dez]])</f>
        <v>0</v>
      </c>
      <c r="P4" s="4"/>
    </row>
    <row r="5" spans="2:16" x14ac:dyDescent="0.25">
      <c r="B5" t="s">
        <v>25</v>
      </c>
      <c r="C5" s="3">
        <f>Jan!J4</f>
        <v>0</v>
      </c>
      <c r="D5" s="3">
        <f>Fev!J4</f>
        <v>0</v>
      </c>
      <c r="E5" s="3">
        <f>Mar!J4</f>
        <v>0</v>
      </c>
      <c r="F5" s="3">
        <f>Abr!J4</f>
        <v>0</v>
      </c>
      <c r="G5" s="3">
        <f>Mai!J4</f>
        <v>0</v>
      </c>
      <c r="H5" s="3">
        <f>Jun!J4</f>
        <v>0</v>
      </c>
      <c r="I5" s="3">
        <f>Jul!J4</f>
        <v>0</v>
      </c>
      <c r="J5" s="3">
        <f>Ago!J4</f>
        <v>0</v>
      </c>
      <c r="K5" s="3">
        <f>Set!J4</f>
        <v>0</v>
      </c>
      <c r="L5" s="3">
        <f>Out!J4</f>
        <v>0</v>
      </c>
      <c r="M5" s="3">
        <f>Nov!J4</f>
        <v>0</v>
      </c>
      <c r="N5" s="3">
        <f>Dez!J4</f>
        <v>0</v>
      </c>
      <c r="O5" s="3">
        <f>SUM(tblDespesas[[#This Row],[Jan]:[Dez]])</f>
        <v>0</v>
      </c>
      <c r="P5" s="4"/>
    </row>
    <row r="6" spans="2:16" x14ac:dyDescent="0.25">
      <c r="B6" t="s">
        <v>44</v>
      </c>
      <c r="C6" s="3">
        <f>Jan!J5</f>
        <v>0</v>
      </c>
      <c r="D6" s="3">
        <f>Fev!J5</f>
        <v>0</v>
      </c>
      <c r="E6" s="3">
        <f>Mar!J5</f>
        <v>0</v>
      </c>
      <c r="F6" s="3">
        <f>Abr!J5</f>
        <v>0</v>
      </c>
      <c r="G6" s="3">
        <f>Mai!J5</f>
        <v>0</v>
      </c>
      <c r="H6" s="3">
        <f>Jun!J5</f>
        <v>0</v>
      </c>
      <c r="I6" s="3">
        <f>Jul!J5</f>
        <v>0</v>
      </c>
      <c r="J6" s="3">
        <f>Ago!J5</f>
        <v>0</v>
      </c>
      <c r="K6" s="3">
        <f>Set!J5</f>
        <v>0</v>
      </c>
      <c r="L6" s="3">
        <f>Out!J5</f>
        <v>0</v>
      </c>
      <c r="M6" s="3">
        <f>Nov!J5</f>
        <v>0</v>
      </c>
      <c r="N6" s="3">
        <f>Dez!J5</f>
        <v>0</v>
      </c>
      <c r="O6" s="3">
        <f>SUM(tblDespesas[[#This Row],[Jan]:[Dez]])</f>
        <v>0</v>
      </c>
      <c r="P6" s="4"/>
    </row>
    <row r="7" spans="2:16" x14ac:dyDescent="0.25">
      <c r="B7" t="s">
        <v>43</v>
      </c>
      <c r="C7" s="3">
        <f>Jan!J6</f>
        <v>0</v>
      </c>
      <c r="D7" s="3">
        <f>Fev!J6</f>
        <v>0</v>
      </c>
      <c r="E7" s="3">
        <f>Mar!J6</f>
        <v>0</v>
      </c>
      <c r="F7" s="3">
        <f>Abr!J6</f>
        <v>0</v>
      </c>
      <c r="G7" s="3">
        <f>Mai!J6</f>
        <v>0</v>
      </c>
      <c r="H7" s="3">
        <f>Jun!J6</f>
        <v>0</v>
      </c>
      <c r="I7" s="3">
        <f>Jul!J6</f>
        <v>0</v>
      </c>
      <c r="J7" s="3">
        <f>Ago!J6</f>
        <v>0</v>
      </c>
      <c r="K7" s="3">
        <f>Set!J6</f>
        <v>0</v>
      </c>
      <c r="L7" s="3">
        <f>Out!J6</f>
        <v>0</v>
      </c>
      <c r="M7" s="3">
        <f>Nov!J6</f>
        <v>0</v>
      </c>
      <c r="N7" s="3">
        <f>Dez!J6</f>
        <v>0</v>
      </c>
      <c r="O7" s="3">
        <f>SUM(tblDespesas[[#This Row],[Jan]:[Dez]])</f>
        <v>0</v>
      </c>
      <c r="P7" s="4"/>
    </row>
    <row r="8" spans="2:16" x14ac:dyDescent="0.25">
      <c r="B8" t="s">
        <v>28</v>
      </c>
      <c r="C8" s="3">
        <f>Jan!J7</f>
        <v>0</v>
      </c>
      <c r="D8" s="3">
        <f>Fev!J7</f>
        <v>0</v>
      </c>
      <c r="E8" s="3">
        <f>Mar!J7</f>
        <v>0</v>
      </c>
      <c r="F8" s="3">
        <f>Abr!J7</f>
        <v>0</v>
      </c>
      <c r="G8" s="3">
        <f>Mai!J7</f>
        <v>0</v>
      </c>
      <c r="H8" s="3">
        <f>Jun!J7</f>
        <v>0</v>
      </c>
      <c r="I8" s="3">
        <f>Jul!J7</f>
        <v>0</v>
      </c>
      <c r="J8" s="3">
        <f>Ago!J7</f>
        <v>0</v>
      </c>
      <c r="K8" s="3">
        <f>Set!J7</f>
        <v>3.2</v>
      </c>
      <c r="L8" s="3">
        <f>Out!J7</f>
        <v>0</v>
      </c>
      <c r="M8" s="3">
        <f>Nov!J7</f>
        <v>0</v>
      </c>
      <c r="N8" s="3">
        <f>Dez!J7</f>
        <v>0</v>
      </c>
      <c r="O8" s="3">
        <f>SUM(tblDespesas[[#This Row],[Jan]:[Dez]])</f>
        <v>3.2</v>
      </c>
      <c r="P8" s="4"/>
    </row>
    <row r="9" spans="2:16" x14ac:dyDescent="0.25">
      <c r="B9" t="s">
        <v>48</v>
      </c>
      <c r="C9" s="3">
        <f>Jan!J8</f>
        <v>0</v>
      </c>
      <c r="D9" s="3">
        <f>Fev!J8</f>
        <v>0</v>
      </c>
      <c r="E9" s="3">
        <f>Mar!J8</f>
        <v>0</v>
      </c>
      <c r="F9" s="3">
        <f>Abr!J8</f>
        <v>0</v>
      </c>
      <c r="G9" s="3">
        <f>Mai!J8</f>
        <v>0</v>
      </c>
      <c r="H9" s="3">
        <f>Jun!J8</f>
        <v>0</v>
      </c>
      <c r="I9" s="3">
        <f>Jul!J8</f>
        <v>0</v>
      </c>
      <c r="J9" s="3">
        <f>Ago!J8</f>
        <v>0</v>
      </c>
      <c r="K9" s="3">
        <f>Set!J8</f>
        <v>0</v>
      </c>
      <c r="L9" s="3">
        <f>Out!J8</f>
        <v>0</v>
      </c>
      <c r="M9" s="3">
        <f>Nov!J8</f>
        <v>0</v>
      </c>
      <c r="N9" s="3">
        <f>Dez!J8</f>
        <v>0</v>
      </c>
      <c r="O9" s="3">
        <f>SUM(tblDespesas[[#This Row],[Jan]:[Dez]])</f>
        <v>0</v>
      </c>
      <c r="P9" s="4"/>
    </row>
    <row r="10" spans="2:16" x14ac:dyDescent="0.25">
      <c r="B10" t="s">
        <v>49</v>
      </c>
      <c r="C10" s="3">
        <f>Jan!J9</f>
        <v>0</v>
      </c>
      <c r="D10" s="3">
        <f>Fev!J9</f>
        <v>0</v>
      </c>
      <c r="E10" s="3">
        <f>Mar!J9</f>
        <v>0</v>
      </c>
      <c r="F10" s="3">
        <f>Abr!J9</f>
        <v>0</v>
      </c>
      <c r="G10" s="3">
        <f>Mai!J9</f>
        <v>0</v>
      </c>
      <c r="H10" s="3">
        <f>Jun!J9</f>
        <v>0</v>
      </c>
      <c r="I10" s="3">
        <f>Jul!J9</f>
        <v>0</v>
      </c>
      <c r="J10" s="3">
        <f>Ago!J9</f>
        <v>0</v>
      </c>
      <c r="K10" s="3">
        <f>Set!J9</f>
        <v>0</v>
      </c>
      <c r="L10" s="3">
        <f>Out!J9</f>
        <v>0</v>
      </c>
      <c r="M10" s="3">
        <f>Nov!J9</f>
        <v>0</v>
      </c>
      <c r="N10" s="3">
        <f>Dez!J9</f>
        <v>0</v>
      </c>
      <c r="O10" s="3">
        <f>SUM(tblDespesas[[#This Row],[Jan]:[Dez]])</f>
        <v>0</v>
      </c>
      <c r="P10" s="4"/>
    </row>
    <row r="11" spans="2:16" x14ac:dyDescent="0.25">
      <c r="B11" t="s">
        <v>19</v>
      </c>
      <c r="C11" s="3">
        <f>Jan!J10</f>
        <v>0</v>
      </c>
      <c r="D11" s="3">
        <f>Fev!J10</f>
        <v>0</v>
      </c>
      <c r="E11" s="3">
        <f>Mar!J10</f>
        <v>0</v>
      </c>
      <c r="F11" s="3">
        <f>Abr!J10</f>
        <v>0</v>
      </c>
      <c r="G11" s="3">
        <f>Mai!J10</f>
        <v>0</v>
      </c>
      <c r="H11" s="3">
        <f>Jun!J10</f>
        <v>0</v>
      </c>
      <c r="I11" s="3">
        <f>Jul!J10</f>
        <v>0</v>
      </c>
      <c r="J11" s="3">
        <f>Ago!J10</f>
        <v>0</v>
      </c>
      <c r="K11" s="3">
        <f>Set!J10</f>
        <v>120</v>
      </c>
      <c r="L11" s="3">
        <f>Out!J10</f>
        <v>0</v>
      </c>
      <c r="M11" s="3">
        <f>Nov!J10</f>
        <v>0</v>
      </c>
      <c r="N11" s="3">
        <f>Dez!J10</f>
        <v>0</v>
      </c>
      <c r="O11" s="3">
        <f>SUM(tblDespesas[[#This Row],[Jan]:[Dez]])</f>
        <v>120</v>
      </c>
      <c r="P11" s="4"/>
    </row>
    <row r="12" spans="2:16" x14ac:dyDescent="0.25">
      <c r="B12" t="s">
        <v>32</v>
      </c>
      <c r="C12" s="3">
        <f>Jan!J11</f>
        <v>0</v>
      </c>
      <c r="D12" s="3">
        <f>Fev!J11</f>
        <v>0</v>
      </c>
      <c r="E12" s="3">
        <f>Mar!J11</f>
        <v>0</v>
      </c>
      <c r="F12" s="3">
        <f>Abr!J11</f>
        <v>0</v>
      </c>
      <c r="G12" s="3">
        <f>Mai!J11</f>
        <v>0</v>
      </c>
      <c r="H12" s="3">
        <f>Jun!J11</f>
        <v>0</v>
      </c>
      <c r="I12" s="3">
        <f>Jul!J11</f>
        <v>0</v>
      </c>
      <c r="J12" s="3">
        <f>Ago!J11</f>
        <v>0</v>
      </c>
      <c r="K12" s="3">
        <f>Set!J11</f>
        <v>32.39</v>
      </c>
      <c r="L12" s="3">
        <f>Out!J11</f>
        <v>0</v>
      </c>
      <c r="M12" s="3">
        <f>Nov!J11</f>
        <v>0</v>
      </c>
      <c r="N12" s="3">
        <f>Dez!J11</f>
        <v>0</v>
      </c>
      <c r="O12" s="3">
        <f>SUM(tblDespesas[[#This Row],[Jan]:[Dez]])</f>
        <v>32.39</v>
      </c>
      <c r="P12" s="4"/>
    </row>
    <row r="13" spans="2:16" x14ac:dyDescent="0.25">
      <c r="B13" t="s">
        <v>31</v>
      </c>
      <c r="C13" s="3">
        <f>Jan!J12</f>
        <v>0</v>
      </c>
      <c r="D13" s="3">
        <f>Fev!J12</f>
        <v>0</v>
      </c>
      <c r="E13" s="3">
        <f>Mar!J12</f>
        <v>0</v>
      </c>
      <c r="F13" s="3">
        <f>Abr!J12</f>
        <v>0</v>
      </c>
      <c r="G13" s="3">
        <f>Mai!J12</f>
        <v>0</v>
      </c>
      <c r="H13" s="3">
        <f>Jun!J12</f>
        <v>0</v>
      </c>
      <c r="I13" s="3">
        <f>Jul!J12</f>
        <v>0</v>
      </c>
      <c r="J13" s="3">
        <f>Ago!J12</f>
        <v>0</v>
      </c>
      <c r="K13" s="3">
        <f>Set!J12</f>
        <v>0</v>
      </c>
      <c r="L13" s="3">
        <f>Out!J12</f>
        <v>0</v>
      </c>
      <c r="M13" s="3">
        <f>Nov!J12</f>
        <v>0</v>
      </c>
      <c r="N13" s="3">
        <f>Dez!J12</f>
        <v>0</v>
      </c>
      <c r="O13" s="3">
        <f>SUM(tblDespesas[[#This Row],[Jan]:[Dez]])</f>
        <v>0</v>
      </c>
      <c r="P13" s="4"/>
    </row>
    <row r="14" spans="2:16" x14ac:dyDescent="0.25">
      <c r="B14" t="s">
        <v>37</v>
      </c>
      <c r="C14" s="3">
        <f>Jan!J13</f>
        <v>0</v>
      </c>
      <c r="D14" s="3">
        <f>Fev!J13</f>
        <v>0</v>
      </c>
      <c r="E14" s="3">
        <f>Mar!J13</f>
        <v>0</v>
      </c>
      <c r="F14" s="3">
        <f>Abr!J13</f>
        <v>0</v>
      </c>
      <c r="G14" s="3">
        <f>Mai!J13</f>
        <v>0</v>
      </c>
      <c r="H14" s="3">
        <f>Jun!J13</f>
        <v>0</v>
      </c>
      <c r="I14" s="3">
        <f>Jul!J13</f>
        <v>0</v>
      </c>
      <c r="J14" s="3">
        <f>Ago!J13</f>
        <v>0</v>
      </c>
      <c r="K14" s="3">
        <f>Set!J13</f>
        <v>0</v>
      </c>
      <c r="L14" s="3">
        <f>Out!J13</f>
        <v>0</v>
      </c>
      <c r="M14" s="3">
        <f>Nov!J13</f>
        <v>0</v>
      </c>
      <c r="N14" s="3">
        <f>Dez!J13</f>
        <v>0</v>
      </c>
      <c r="O14" s="3">
        <f>SUM(tblDespesas[[#This Row],[Jan]:[Dez]])</f>
        <v>0</v>
      </c>
      <c r="P14" s="4"/>
    </row>
    <row r="15" spans="2:16" x14ac:dyDescent="0.25">
      <c r="B15" t="s">
        <v>38</v>
      </c>
      <c r="C15" s="3">
        <f>Jan!J14</f>
        <v>0</v>
      </c>
      <c r="D15" s="3">
        <f>Fev!J14</f>
        <v>0</v>
      </c>
      <c r="E15" s="3">
        <f>Mar!J14</f>
        <v>0</v>
      </c>
      <c r="F15" s="3">
        <f>Abr!J14</f>
        <v>0</v>
      </c>
      <c r="G15" s="3">
        <f>Mai!J14</f>
        <v>0</v>
      </c>
      <c r="H15" s="3">
        <f>Jun!J14</f>
        <v>0</v>
      </c>
      <c r="I15" s="3">
        <f>Jul!J14</f>
        <v>0</v>
      </c>
      <c r="J15" s="3">
        <f>Ago!J14</f>
        <v>0</v>
      </c>
      <c r="K15" s="3">
        <f>Set!J14</f>
        <v>0</v>
      </c>
      <c r="L15" s="3">
        <f>Out!J14</f>
        <v>0</v>
      </c>
      <c r="M15" s="3">
        <f>Nov!J14</f>
        <v>0</v>
      </c>
      <c r="N15" s="3">
        <f>Dez!J14</f>
        <v>0</v>
      </c>
      <c r="O15" s="3">
        <f>SUM(tblDespesas[[#This Row],[Jan]:[Dez]])</f>
        <v>0</v>
      </c>
      <c r="P15" s="4"/>
    </row>
    <row r="16" spans="2:16" x14ac:dyDescent="0.25">
      <c r="B16" t="s">
        <v>39</v>
      </c>
      <c r="C16" s="3">
        <f>Jan!J15</f>
        <v>0</v>
      </c>
      <c r="D16" s="3">
        <f>Fev!J15</f>
        <v>0</v>
      </c>
      <c r="E16" s="3">
        <f>Mar!J15</f>
        <v>0</v>
      </c>
      <c r="F16" s="3">
        <f>Abr!J15</f>
        <v>0</v>
      </c>
      <c r="G16" s="3">
        <f>Mai!J15</f>
        <v>0</v>
      </c>
      <c r="H16" s="3">
        <f>Jun!J15</f>
        <v>0</v>
      </c>
      <c r="I16" s="3">
        <f>Jul!J15</f>
        <v>0</v>
      </c>
      <c r="J16" s="3">
        <f>Ago!J15</f>
        <v>0</v>
      </c>
      <c r="K16" s="3">
        <f>Set!J15</f>
        <v>0</v>
      </c>
      <c r="L16" s="3">
        <f>Out!J15</f>
        <v>0</v>
      </c>
      <c r="M16" s="3">
        <f>Nov!J15</f>
        <v>0</v>
      </c>
      <c r="N16" s="3">
        <f>Dez!J15</f>
        <v>0</v>
      </c>
      <c r="O16" s="3">
        <f>SUM(tblDespesas[[#This Row],[Jan]:[Dez]])</f>
        <v>0</v>
      </c>
      <c r="P16" s="4"/>
    </row>
    <row r="17" spans="2:16" x14ac:dyDescent="0.25">
      <c r="B17" t="s">
        <v>40</v>
      </c>
      <c r="C17" s="3">
        <f>Jan!J16</f>
        <v>0</v>
      </c>
      <c r="D17" s="3">
        <f>Fev!J16</f>
        <v>0</v>
      </c>
      <c r="E17" s="3">
        <f>Mar!J16</f>
        <v>0</v>
      </c>
      <c r="F17" s="3">
        <f>Abr!J16</f>
        <v>0</v>
      </c>
      <c r="G17" s="3">
        <f>Mai!J16</f>
        <v>0</v>
      </c>
      <c r="H17" s="3">
        <f>Jun!J16</f>
        <v>0</v>
      </c>
      <c r="I17" s="3">
        <f>Jul!J16</f>
        <v>0</v>
      </c>
      <c r="J17" s="3">
        <f>Ago!J16</f>
        <v>0</v>
      </c>
      <c r="K17" s="3">
        <f>Set!J16</f>
        <v>9</v>
      </c>
      <c r="L17" s="3">
        <f>Out!J16</f>
        <v>0</v>
      </c>
      <c r="M17" s="3">
        <f>Nov!J16</f>
        <v>0</v>
      </c>
      <c r="N17" s="3">
        <f>Dez!J16</f>
        <v>0</v>
      </c>
      <c r="O17" s="3">
        <f>SUM(tblDespesas[[#This Row],[Jan]:[Dez]])</f>
        <v>9</v>
      </c>
      <c r="P17" s="4"/>
    </row>
    <row r="18" spans="2:16" x14ac:dyDescent="0.25">
      <c r="B18" t="s">
        <v>41</v>
      </c>
      <c r="C18" s="3">
        <f>Jan!J17</f>
        <v>0</v>
      </c>
      <c r="D18" s="3">
        <f>Fev!J17</f>
        <v>0</v>
      </c>
      <c r="E18" s="3">
        <f>Mar!J17</f>
        <v>0</v>
      </c>
      <c r="F18" s="3">
        <f>Abr!J17</f>
        <v>0</v>
      </c>
      <c r="G18" s="3">
        <f>Mai!J17</f>
        <v>0</v>
      </c>
      <c r="H18" s="3">
        <f>Jun!J17</f>
        <v>0</v>
      </c>
      <c r="I18" s="3">
        <f>Jul!J17</f>
        <v>0</v>
      </c>
      <c r="J18" s="3">
        <f>Ago!J17</f>
        <v>0</v>
      </c>
      <c r="K18" s="3">
        <f>Set!J17</f>
        <v>0.25</v>
      </c>
      <c r="L18" s="3">
        <f>Out!J17</f>
        <v>0</v>
      </c>
      <c r="M18" s="3">
        <f>Nov!J17</f>
        <v>0</v>
      </c>
      <c r="N18" s="3">
        <f>Dez!J17</f>
        <v>0</v>
      </c>
      <c r="O18" s="3">
        <f>SUM(tblDespesas[[#This Row],[Jan]:[Dez]])</f>
        <v>0.25</v>
      </c>
      <c r="P18" s="4"/>
    </row>
    <row r="19" spans="2:16" x14ac:dyDescent="0.25">
      <c r="B19" t="s">
        <v>42</v>
      </c>
      <c r="C19" s="3">
        <f>Jan!J18</f>
        <v>0</v>
      </c>
      <c r="D19" s="3">
        <f>Fev!J18</f>
        <v>0</v>
      </c>
      <c r="E19" s="3">
        <f>Mar!J18</f>
        <v>0</v>
      </c>
      <c r="F19" s="3">
        <f>Abr!J18</f>
        <v>0</v>
      </c>
      <c r="G19" s="3">
        <f>Mai!J18</f>
        <v>0</v>
      </c>
      <c r="H19" s="3">
        <f>Jun!J18</f>
        <v>0</v>
      </c>
      <c r="I19" s="3">
        <f>Jul!J18</f>
        <v>0</v>
      </c>
      <c r="J19" s="3">
        <f>Ago!J18</f>
        <v>0</v>
      </c>
      <c r="K19" s="3">
        <f>Set!J18</f>
        <v>0</v>
      </c>
      <c r="L19" s="3">
        <f>Out!J18</f>
        <v>0</v>
      </c>
      <c r="M19" s="3">
        <f>Nov!J18</f>
        <v>0</v>
      </c>
      <c r="N19" s="3">
        <f>Dez!J18</f>
        <v>0</v>
      </c>
      <c r="O19" s="3">
        <f>SUM(tblDespesas[[#This Row],[Jan]:[Dez]])</f>
        <v>0</v>
      </c>
      <c r="P19" s="4"/>
    </row>
    <row r="20" spans="2:16" x14ac:dyDescent="0.25">
      <c r="B20" t="s">
        <v>18</v>
      </c>
      <c r="C20" s="3">
        <f>SUBTOTAL(109,tblDespesas[Jan])</f>
        <v>0</v>
      </c>
      <c r="D20" s="3">
        <f>SUBTOTAL(109,tblDespesas[Fev])</f>
        <v>0</v>
      </c>
      <c r="E20" s="3">
        <f>SUBTOTAL(109,tblDespesas[Mar])</f>
        <v>0</v>
      </c>
      <c r="F20" s="3">
        <f>SUBTOTAL(109,tblDespesas[Abr])</f>
        <v>0</v>
      </c>
      <c r="G20" s="3">
        <f>SUBTOTAL(109,tblDespesas[Mai])</f>
        <v>0</v>
      </c>
      <c r="H20" s="3">
        <f>SUBTOTAL(109,tblDespesas[Jun])</f>
        <v>0</v>
      </c>
      <c r="I20" s="3">
        <f>SUBTOTAL(109,tblDespesas[Jul])</f>
        <v>0</v>
      </c>
      <c r="J20" s="3">
        <f>SUBTOTAL(109,tblDespesas[Ago])</f>
        <v>0</v>
      </c>
      <c r="K20" s="3">
        <f>SUBTOTAL(109,tblDespesas[Set])</f>
        <v>164.84</v>
      </c>
      <c r="L20" s="3">
        <f>SUBTOTAL(109,tblDespesas[Out])</f>
        <v>0</v>
      </c>
      <c r="M20" s="3">
        <f>SUBTOTAL(109,tblDespesas[Nov])</f>
        <v>0</v>
      </c>
      <c r="N20" s="3">
        <f>SUBTOTAL(109,tblDespesas[Dez])</f>
        <v>0</v>
      </c>
      <c r="O20" s="3">
        <f>SUBTOTAL(109,tblDespesas[Total])</f>
        <v>164.84</v>
      </c>
      <c r="P20" s="6"/>
    </row>
    <row r="21" spans="2:16" ht="7.5" customHeight="1" x14ac:dyDescent="0.25"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</row>
    <row r="22" spans="2:16" x14ac:dyDescent="0.25">
      <c r="C22" s="3">
        <f>tblGanhos[[#Totals],[Jan]]-tblDespesas[[#Totals],[Jan]]</f>
        <v>0</v>
      </c>
      <c r="D22" s="3">
        <f>tblGanhos[[#Totals],[Fev]]-tblDespesas[[#Totals],[Fev]]</f>
        <v>0</v>
      </c>
      <c r="E22" s="3">
        <f>tblGanhos[[#Totals],[Mar]]-tblDespesas[[#Totals],[Mar]]</f>
        <v>0</v>
      </c>
      <c r="F22" s="3">
        <f>tblGanhos[[#Totals],[Abr]]-tblDespesas[[#Totals],[Abr]]</f>
        <v>0</v>
      </c>
      <c r="G22" s="3">
        <f>tblGanhos[[#Totals],[Mai]]-tblDespesas[[#Totals],[Mai]]</f>
        <v>0</v>
      </c>
      <c r="H22" s="3">
        <f>tblGanhos[[#Totals],[Jun]]-tblDespesas[[#Totals],[Jun]]</f>
        <v>0</v>
      </c>
      <c r="I22" s="3">
        <f>tblGanhos[[#Totals],[Jul]]-tblDespesas[[#Totals],[Jul]]</f>
        <v>0</v>
      </c>
      <c r="J22" s="3">
        <f>tblGanhos[[#Totals],[Ago]]-tblDespesas[[#Totals],[Ago]]</f>
        <v>0</v>
      </c>
      <c r="K22" s="3">
        <f>tblGanhos[[#Totals],[Set]]-tblDespesas[[#Totals],[Set]]</f>
        <v>323.85000000000002</v>
      </c>
      <c r="L22" s="3">
        <f>tblGanhos[[#Totals],[Out]]-tblDespesas[[#Totals],[Out]]</f>
        <v>0</v>
      </c>
      <c r="M22" s="3">
        <f>tblGanhos[[#Totals],[Nov]]-tblDespesas[[#Totals],[Nov]]</f>
        <v>0</v>
      </c>
      <c r="N22" s="3">
        <f>tblGanhos[[#Totals],[Dez]]-tblDespesas[[#Totals],[Dez]]</f>
        <v>0</v>
      </c>
      <c r="O22" s="15"/>
      <c r="P22" s="16"/>
    </row>
    <row r="23" spans="2:16" ht="15" customHeight="1" x14ac:dyDescent="0.25">
      <c r="B23" t="s">
        <v>21</v>
      </c>
      <c r="C23" s="1">
        <f>C22</f>
        <v>0</v>
      </c>
      <c r="D23" s="1">
        <f>C23+D22</f>
        <v>0</v>
      </c>
      <c r="E23" s="1">
        <f t="shared" ref="E23:N23" si="0">D23+E22</f>
        <v>0</v>
      </c>
      <c r="F23" s="1">
        <f t="shared" si="0"/>
        <v>0</v>
      </c>
      <c r="G23" s="1">
        <f t="shared" si="0"/>
        <v>0</v>
      </c>
      <c r="H23" s="1">
        <f t="shared" si="0"/>
        <v>0</v>
      </c>
      <c r="I23" s="1">
        <f t="shared" si="0"/>
        <v>0</v>
      </c>
      <c r="J23" s="1">
        <f t="shared" si="0"/>
        <v>0</v>
      </c>
      <c r="K23" s="1">
        <f t="shared" si="0"/>
        <v>323.85000000000002</v>
      </c>
      <c r="L23" s="1">
        <f t="shared" si="0"/>
        <v>323.85000000000002</v>
      </c>
      <c r="M23" s="1">
        <f t="shared" si="0"/>
        <v>323.85000000000002</v>
      </c>
      <c r="N23" s="1">
        <f t="shared" si="0"/>
        <v>323.85000000000002</v>
      </c>
      <c r="O23" s="17"/>
      <c r="P23" s="18"/>
    </row>
    <row r="24" spans="2:16" ht="26.25" x14ac:dyDescent="0.4">
      <c r="B24" s="14" t="s">
        <v>16</v>
      </c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2"/>
    </row>
    <row r="25" spans="2:16" x14ac:dyDescent="0.25">
      <c r="B25" t="s">
        <v>0</v>
      </c>
      <c r="C25" s="3" t="s">
        <v>3</v>
      </c>
      <c r="D25" s="3" t="s">
        <v>4</v>
      </c>
      <c r="E25" s="3" t="s">
        <v>5</v>
      </c>
      <c r="F25" s="3" t="s">
        <v>6</v>
      </c>
      <c r="G25" s="3" t="s">
        <v>7</v>
      </c>
      <c r="H25" s="3" t="s">
        <v>8</v>
      </c>
      <c r="I25" s="3" t="s">
        <v>9</v>
      </c>
      <c r="J25" s="3" t="s">
        <v>10</v>
      </c>
      <c r="K25" s="3" t="s">
        <v>11</v>
      </c>
      <c r="L25" s="3" t="s">
        <v>12</v>
      </c>
      <c r="M25" s="3" t="s">
        <v>13</v>
      </c>
      <c r="N25" s="3" t="s">
        <v>14</v>
      </c>
      <c r="O25" s="3" t="s">
        <v>18</v>
      </c>
      <c r="P25" s="3" t="s">
        <v>20</v>
      </c>
    </row>
    <row r="26" spans="2:16" x14ac:dyDescent="0.25">
      <c r="B26" t="s">
        <v>17</v>
      </c>
      <c r="C26" s="3">
        <v>0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3">
        <v>0</v>
      </c>
      <c r="K26" s="3">
        <v>458.9</v>
      </c>
      <c r="L26" s="3">
        <v>0</v>
      </c>
      <c r="M26" s="3">
        <v>0</v>
      </c>
      <c r="N26" s="3">
        <v>0</v>
      </c>
      <c r="O26" s="3">
        <f>SUM(tblGanhos[[#This Row],[Jan]:[Dez]])</f>
        <v>458.9</v>
      </c>
      <c r="P26" s="4"/>
    </row>
    <row r="27" spans="2:16" x14ac:dyDescent="0.25">
      <c r="B27" t="s">
        <v>22</v>
      </c>
      <c r="C27" s="3">
        <v>0</v>
      </c>
      <c r="D27" s="3">
        <v>0</v>
      </c>
      <c r="E27" s="3">
        <v>0</v>
      </c>
      <c r="F27" s="3">
        <v>0</v>
      </c>
      <c r="G27" s="3">
        <v>0</v>
      </c>
      <c r="H27" s="3">
        <v>0</v>
      </c>
      <c r="I27" s="3">
        <v>0</v>
      </c>
      <c r="J27" s="3">
        <v>0</v>
      </c>
      <c r="K27" s="3">
        <v>29.79</v>
      </c>
      <c r="L27" s="3">
        <v>0</v>
      </c>
      <c r="M27" s="3">
        <v>0</v>
      </c>
      <c r="N27" s="3">
        <v>0</v>
      </c>
      <c r="O27" s="3">
        <f>SUM(tblGanhos[[#This Row],[Jan]:[Dez]])</f>
        <v>29.79</v>
      </c>
      <c r="P27" s="4"/>
    </row>
    <row r="28" spans="2:16" x14ac:dyDescent="0.25">
      <c r="B28" t="s">
        <v>19</v>
      </c>
      <c r="C28" s="3">
        <v>0</v>
      </c>
      <c r="D28" s="3">
        <v>0</v>
      </c>
      <c r="E28" s="3">
        <v>0</v>
      </c>
      <c r="F28" s="3">
        <v>0</v>
      </c>
      <c r="G28" s="3">
        <v>0</v>
      </c>
      <c r="H28" s="3">
        <v>0</v>
      </c>
      <c r="I28" s="3">
        <v>0</v>
      </c>
      <c r="J28" s="3">
        <v>0</v>
      </c>
      <c r="K28" s="3">
        <v>0</v>
      </c>
      <c r="L28" s="3">
        <v>0</v>
      </c>
      <c r="M28" s="3">
        <v>0</v>
      </c>
      <c r="N28" s="3">
        <v>0</v>
      </c>
      <c r="O28" s="3">
        <f>SUM(tblGanhos[[#This Row],[Jan]:[Dez]])</f>
        <v>0</v>
      </c>
      <c r="P28" s="4"/>
    </row>
    <row r="29" spans="2:16" x14ac:dyDescent="0.25">
      <c r="B29" t="s">
        <v>18</v>
      </c>
      <c r="C29" s="3">
        <f>SUBTOTAL(109,tblGanhos[Jan])</f>
        <v>0</v>
      </c>
      <c r="D29" s="3">
        <f>SUBTOTAL(109,tblGanhos[Fev])</f>
        <v>0</v>
      </c>
      <c r="E29" s="3">
        <f>SUBTOTAL(109,tblGanhos[Mar])</f>
        <v>0</v>
      </c>
      <c r="F29" s="3">
        <f>SUBTOTAL(109,tblGanhos[Abr])</f>
        <v>0</v>
      </c>
      <c r="G29" s="3">
        <f>SUBTOTAL(109,tblGanhos[Mai])</f>
        <v>0</v>
      </c>
      <c r="H29" s="3">
        <f>SUBTOTAL(109,tblGanhos[Jun])</f>
        <v>0</v>
      </c>
      <c r="I29" s="3">
        <f>SUBTOTAL(109,tblGanhos[Jul])</f>
        <v>0</v>
      </c>
      <c r="J29" s="3">
        <f>SUBTOTAL(109,tblGanhos[Ago])</f>
        <v>0</v>
      </c>
      <c r="K29" s="3">
        <f>SUBTOTAL(109,tblGanhos[Set])</f>
        <v>488.69</v>
      </c>
      <c r="L29" s="3">
        <f>SUBTOTAL(109,tblGanhos[Out])</f>
        <v>0</v>
      </c>
      <c r="M29" s="3">
        <f>SUBTOTAL(109,tblGanhos[Nov])</f>
        <v>0</v>
      </c>
      <c r="N29" s="3">
        <f>SUBTOTAL(109,tblGanhos[Dez])</f>
        <v>0</v>
      </c>
      <c r="O29" s="3">
        <f>SUBTOTAL(109,tblGanhos[Total])</f>
        <v>488.69</v>
      </c>
      <c r="P29" s="8"/>
    </row>
    <row r="30" spans="2:16" ht="7.5" customHeight="1" x14ac:dyDescent="0.25"/>
    <row r="46" ht="7.5" customHeight="1" x14ac:dyDescent="0.25"/>
  </sheetData>
  <mergeCells count="4">
    <mergeCell ref="B1:O1"/>
    <mergeCell ref="B24:O24"/>
    <mergeCell ref="O22:P22"/>
    <mergeCell ref="O23:P23"/>
  </mergeCells>
  <conditionalFormatting sqref="C22:N2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3:N23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tableParts count="3">
    <tablePart r:id="rId3"/>
    <tablePart r:id="rId4"/>
    <tablePart r:id="rId5"/>
  </tableParts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markers="1" xr2:uid="{00000000-0003-0000-0000-000001000000}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'2022'!C29:N29</xm:f>
              <xm:sqref>P29</xm:sqref>
            </x14:sparkline>
          </x14:sparklines>
        </x14:sparklineGroup>
        <x14:sparklineGroup displayEmptyCellsAs="gap" markers="1" xr2:uid="{00000000-0003-0000-0000-000002000000}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'2022'!C23:N23</xm:f>
              <xm:sqref>O22</xm:sqref>
            </x14:sparkline>
          </x14:sparklines>
        </x14:sparklineGroup>
        <x14:sparklineGroup displayEmptyCellsAs="gap" markers="1" xr2:uid="{00000000-0003-0000-0000-000003000000}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'2022'!C26:N26</xm:f>
              <xm:sqref>P26</xm:sqref>
            </x14:sparkline>
            <x14:sparkline>
              <xm:f>'2022'!C27:N27</xm:f>
              <xm:sqref>P27</xm:sqref>
            </x14:sparkline>
            <x14:sparkline>
              <xm:f>'2022'!C28:N28</xm:f>
              <xm:sqref>P28</xm:sqref>
            </x14:sparkline>
          </x14:sparklines>
        </x14:sparklineGroup>
        <x14:sparklineGroup displayEmptyCellsAs="gap" markers="1" xr2:uid="{00000000-0003-0000-0000-000004000000}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'2022'!C20:N20</xm:f>
              <xm:sqref>P20</xm:sqref>
            </x14:sparkline>
            <x14:sparkline>
              <xm:f>'2022'!C21:N21</xm:f>
              <xm:sqref>P21</xm:sqref>
            </x14:sparkline>
          </x14:sparklines>
        </x14:sparklineGroup>
        <x14:sparklineGroup displayEmptyCellsAs="gap" markers="1" xr2:uid="{00000000-0003-0000-0000-000005000000}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'2022'!C3:N3</xm:f>
              <xm:sqref>P3</xm:sqref>
            </x14:sparkline>
            <x14:sparkline>
              <xm:f>'2022'!C4:N4</xm:f>
              <xm:sqref>P4</xm:sqref>
            </x14:sparkline>
            <x14:sparkline>
              <xm:f>'2022'!C5:N5</xm:f>
              <xm:sqref>P5</xm:sqref>
            </x14:sparkline>
            <x14:sparkline>
              <xm:f>'2022'!C6:N6</xm:f>
              <xm:sqref>P6</xm:sqref>
            </x14:sparkline>
            <x14:sparkline>
              <xm:f>'2022'!C7:N7</xm:f>
              <xm:sqref>P7</xm:sqref>
            </x14:sparkline>
            <x14:sparkline>
              <xm:f>'2022'!C8:N8</xm:f>
              <xm:sqref>P8</xm:sqref>
            </x14:sparkline>
            <x14:sparkline>
              <xm:f>'2022'!C9:N9</xm:f>
              <xm:sqref>P9</xm:sqref>
            </x14:sparkline>
            <x14:sparkline>
              <xm:f>'2022'!C10:N10</xm:f>
              <xm:sqref>P10</xm:sqref>
            </x14:sparkline>
            <x14:sparkline>
              <xm:f>'2022'!C11:N11</xm:f>
              <xm:sqref>P11</xm:sqref>
            </x14:sparkline>
            <x14:sparkline>
              <xm:f>'2022'!C12:N12</xm:f>
              <xm:sqref>P12</xm:sqref>
            </x14:sparkline>
            <x14:sparkline>
              <xm:f>'2022'!C13:N13</xm:f>
              <xm:sqref>P13</xm:sqref>
            </x14:sparkline>
            <x14:sparkline>
              <xm:f>'2022'!C14:N14</xm:f>
              <xm:sqref>P14</xm:sqref>
            </x14:sparkline>
            <x14:sparkline>
              <xm:f>'2022'!C15:N15</xm:f>
              <xm:sqref>P15</xm:sqref>
            </x14:sparkline>
            <x14:sparkline>
              <xm:f>'2022'!C16:N16</xm:f>
              <xm:sqref>P16</xm:sqref>
            </x14:sparkline>
            <x14:sparkline>
              <xm:f>'2022'!C17:N17</xm:f>
              <xm:sqref>P17</xm:sqref>
            </x14:sparkline>
            <x14:sparkline>
              <xm:f>'2022'!C18:N18</xm:f>
              <xm:sqref>P18</xm:sqref>
            </x14:sparkline>
            <x14:sparkline>
              <xm:f>'2022'!C19:N19</xm:f>
              <xm:sqref>P19</xm:sqref>
            </x14:sparkline>
          </x14:sparklines>
        </x14:sparklineGroup>
        <x14:sparklineGroup displayEmptyCellsAs="gap" markers="1" xr2:uid="{00000000-0003-0000-0000-000000000000}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'2022'!C23:N23</xm:f>
              <xm:sqref>O23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M37"/>
  <sheetViews>
    <sheetView workbookViewId="0">
      <selection activeCell="A2" sqref="A2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7.85546875" bestFit="1" customWidth="1"/>
    <col min="5" max="5" width="9.42578125" bestFit="1" customWidth="1"/>
    <col min="6" max="6" width="9.85546875" bestFit="1" customWidth="1"/>
    <col min="7" max="7" width="20" bestFit="1" customWidth="1"/>
    <col min="8" max="8" width="1.42578125" customWidth="1"/>
    <col min="9" max="9" width="13.85546875" bestFit="1" customWidth="1"/>
    <col min="10" max="10" width="10.85546875" bestFit="1" customWidth="1"/>
    <col min="12" max="12" width="10.7109375" bestFit="1" customWidth="1"/>
  </cols>
  <sheetData>
    <row r="1" spans="1:13" s="9" customFormat="1" x14ac:dyDescent="0.25">
      <c r="A1" s="9" t="s">
        <v>0</v>
      </c>
      <c r="B1" s="9" t="s">
        <v>23</v>
      </c>
      <c r="C1" s="10" t="s">
        <v>24</v>
      </c>
      <c r="D1" s="9" t="s">
        <v>36</v>
      </c>
      <c r="E1" s="9" t="s">
        <v>35</v>
      </c>
      <c r="F1" s="9" t="s">
        <v>34</v>
      </c>
      <c r="G1" s="9" t="s">
        <v>33</v>
      </c>
      <c r="I1" s="9" t="s">
        <v>0</v>
      </c>
      <c r="J1" s="9" t="s">
        <v>18</v>
      </c>
    </row>
    <row r="2" spans="1:13" x14ac:dyDescent="0.25">
      <c r="B2" s="5"/>
      <c r="C2" s="7"/>
      <c r="D2" s="5"/>
      <c r="E2" s="5"/>
      <c r="F2" s="5"/>
      <c r="G2" s="5"/>
      <c r="I2" t="s">
        <v>1</v>
      </c>
      <c r="J2" s="5">
        <f>SUMIF(tblJaneiro[Categoria],Tabela3[[#This Row],[Categoria]],tblJaneiro[Valor])</f>
        <v>0</v>
      </c>
      <c r="L2" s="13">
        <v>43466</v>
      </c>
      <c r="M2">
        <v>4.5</v>
      </c>
    </row>
    <row r="3" spans="1:13" x14ac:dyDescent="0.25">
      <c r="B3" s="5"/>
      <c r="C3" s="7"/>
      <c r="D3" s="5"/>
      <c r="E3" s="5"/>
      <c r="F3" s="5"/>
      <c r="G3" s="5"/>
      <c r="I3" t="s">
        <v>2</v>
      </c>
      <c r="J3" s="5">
        <f>SUMIF(tblJaneiro[Categoria],Tabela3[[#This Row],[Categoria]],tblJaneiro[Valor])</f>
        <v>0</v>
      </c>
      <c r="L3" s="13">
        <v>43467</v>
      </c>
      <c r="M3">
        <v>4.5</v>
      </c>
    </row>
    <row r="4" spans="1:13" x14ac:dyDescent="0.25">
      <c r="B4" s="5"/>
      <c r="C4" s="7"/>
      <c r="D4" s="5"/>
      <c r="E4" s="5"/>
      <c r="F4" s="5"/>
      <c r="G4" s="5"/>
      <c r="I4" t="s">
        <v>25</v>
      </c>
      <c r="J4" s="5">
        <f>SUMIF(tblJaneiro[Categoria],Tabela3[[#This Row],[Categoria]],tblJaneiro[Valor])</f>
        <v>0</v>
      </c>
      <c r="L4" s="13">
        <v>43468</v>
      </c>
      <c r="M4">
        <v>4.5</v>
      </c>
    </row>
    <row r="5" spans="1:13" x14ac:dyDescent="0.25">
      <c r="B5" s="5"/>
      <c r="C5" s="7"/>
      <c r="D5" s="5"/>
      <c r="E5" s="5"/>
      <c r="F5" s="5"/>
      <c r="G5" s="5"/>
      <c r="I5" t="s">
        <v>26</v>
      </c>
      <c r="J5" s="5">
        <f>SUMIF(tblJaneiro[Categoria],Tabela3[[#This Row],[Categoria]],tblJaneiro[Valor])</f>
        <v>0</v>
      </c>
      <c r="L5" s="13">
        <v>43469</v>
      </c>
      <c r="M5">
        <v>4.5</v>
      </c>
    </row>
    <row r="6" spans="1:13" x14ac:dyDescent="0.25">
      <c r="B6" s="5"/>
      <c r="C6" s="7"/>
      <c r="D6" s="5"/>
      <c r="E6" s="5"/>
      <c r="F6" s="5"/>
      <c r="G6" s="5"/>
      <c r="I6" t="s">
        <v>27</v>
      </c>
      <c r="J6" s="5">
        <f>SUMIF(tblJaneiro[Categoria],Tabela3[[#This Row],[Categoria]],tblJaneiro[Valor])</f>
        <v>0</v>
      </c>
      <c r="L6" s="13">
        <v>43470</v>
      </c>
      <c r="M6">
        <v>4.5</v>
      </c>
    </row>
    <row r="7" spans="1:13" x14ac:dyDescent="0.25">
      <c r="B7" s="5"/>
      <c r="C7" s="7"/>
      <c r="D7" s="5"/>
      <c r="E7" s="5"/>
      <c r="F7" s="5"/>
      <c r="G7" s="5"/>
      <c r="I7" t="s">
        <v>28</v>
      </c>
      <c r="J7" s="5">
        <f>SUMIF(tblJaneiro[Categoria],Tabela3[[#This Row],[Categoria]],tblJaneiro[Valor])</f>
        <v>0</v>
      </c>
      <c r="L7" s="13">
        <v>43471</v>
      </c>
      <c r="M7">
        <v>4.5</v>
      </c>
    </row>
    <row r="8" spans="1:13" x14ac:dyDescent="0.25">
      <c r="B8" s="5"/>
      <c r="C8" s="7"/>
      <c r="D8" s="5"/>
      <c r="E8" s="5"/>
      <c r="F8" s="5"/>
      <c r="G8" s="5"/>
      <c r="I8" t="s">
        <v>29</v>
      </c>
      <c r="J8" s="5">
        <f>SUMIF(tblJaneiro[Categoria],Tabela3[[#This Row],[Categoria]],tblJaneiro[Valor])</f>
        <v>0</v>
      </c>
      <c r="L8" s="13">
        <v>43472</v>
      </c>
      <c r="M8">
        <v>4.5</v>
      </c>
    </row>
    <row r="9" spans="1:13" x14ac:dyDescent="0.25">
      <c r="B9" s="5"/>
      <c r="C9" s="7"/>
      <c r="D9" s="5"/>
      <c r="E9" s="5"/>
      <c r="F9" s="5"/>
      <c r="G9" s="5"/>
      <c r="I9" t="s">
        <v>30</v>
      </c>
      <c r="J9" s="5">
        <f>SUMIF(tblJaneiro[Categoria],Tabela3[[#This Row],[Categoria]],tblJaneiro[Valor])</f>
        <v>0</v>
      </c>
      <c r="L9" s="13">
        <v>43473</v>
      </c>
      <c r="M9">
        <v>4.5</v>
      </c>
    </row>
    <row r="10" spans="1:13" x14ac:dyDescent="0.25">
      <c r="B10" s="5"/>
      <c r="C10" s="7"/>
      <c r="D10" s="5"/>
      <c r="E10" s="5"/>
      <c r="F10" s="5"/>
      <c r="G10" s="5"/>
      <c r="I10" t="s">
        <v>19</v>
      </c>
      <c r="J10" s="5">
        <f>SUMIF(tblJaneiro[Categoria],Tabela3[[#This Row],[Categoria]],tblJaneiro[Valor])</f>
        <v>0</v>
      </c>
      <c r="L10" s="13">
        <v>43474</v>
      </c>
      <c r="M10">
        <v>4.5</v>
      </c>
    </row>
    <row r="11" spans="1:13" x14ac:dyDescent="0.25">
      <c r="B11" s="5"/>
      <c r="C11" s="7"/>
      <c r="D11" s="5"/>
      <c r="E11" s="5"/>
      <c r="F11" s="5"/>
      <c r="G11" s="5"/>
      <c r="I11" t="s">
        <v>32</v>
      </c>
      <c r="J11" s="5">
        <f>SUMIF(tblJaneiro[Categoria],Tabela3[[#This Row],[Categoria]],tblJaneiro[Valor])</f>
        <v>0</v>
      </c>
      <c r="L11" s="13">
        <v>43475</v>
      </c>
      <c r="M11">
        <v>4.5</v>
      </c>
    </row>
    <row r="12" spans="1:13" x14ac:dyDescent="0.25">
      <c r="B12" s="5"/>
      <c r="C12" s="7"/>
      <c r="D12" s="5"/>
      <c r="E12" s="5"/>
      <c r="F12" s="5"/>
      <c r="G12" s="5"/>
      <c r="I12" t="s">
        <v>31</v>
      </c>
      <c r="J12" s="5">
        <f>SUMIF(tblJaneiro[Categoria],Tabela3[[#This Row],[Categoria]],tblJaneiro[Valor])</f>
        <v>0</v>
      </c>
      <c r="L12" s="13">
        <v>43476</v>
      </c>
      <c r="M12">
        <v>4.5</v>
      </c>
    </row>
    <row r="13" spans="1:13" x14ac:dyDescent="0.25">
      <c r="B13" s="5"/>
      <c r="C13" s="7"/>
      <c r="D13" s="5"/>
      <c r="E13" s="5"/>
      <c r="F13" s="5"/>
      <c r="G13" s="5"/>
      <c r="I13" t="s">
        <v>37</v>
      </c>
      <c r="J13" s="5">
        <f>SUMIF(tblJaneiro[Categoria],Tabela3[[#This Row],[Categoria]],tblJaneiro[Valor])</f>
        <v>0</v>
      </c>
      <c r="L13" s="13">
        <v>43477</v>
      </c>
      <c r="M13">
        <v>4.5</v>
      </c>
    </row>
    <row r="14" spans="1:13" x14ac:dyDescent="0.25">
      <c r="B14" s="5"/>
      <c r="C14" s="7"/>
      <c r="D14" s="5"/>
      <c r="E14" s="5"/>
      <c r="F14" s="5"/>
      <c r="G14" s="5"/>
      <c r="I14" t="s">
        <v>38</v>
      </c>
      <c r="J14" s="5">
        <f>SUMIF(tblJaneiro[Categoria],Tabela3[[#This Row],[Categoria]],tblJaneiro[Valor])</f>
        <v>0</v>
      </c>
      <c r="L14" s="13">
        <v>43478</v>
      </c>
      <c r="M14">
        <v>4.5</v>
      </c>
    </row>
    <row r="15" spans="1:13" x14ac:dyDescent="0.25">
      <c r="B15" s="5"/>
      <c r="C15" s="7"/>
      <c r="D15" s="5"/>
      <c r="E15" s="5"/>
      <c r="F15" s="5"/>
      <c r="G15" s="5"/>
      <c r="I15" t="s">
        <v>39</v>
      </c>
      <c r="J15" s="5">
        <f>SUMIF(tblJaneiro[Categoria],Tabela3[[#This Row],[Categoria]],tblJaneiro[Valor])</f>
        <v>0</v>
      </c>
      <c r="L15" s="13">
        <v>43479</v>
      </c>
      <c r="M15">
        <v>4.5</v>
      </c>
    </row>
    <row r="16" spans="1:13" x14ac:dyDescent="0.25">
      <c r="B16" s="5"/>
      <c r="C16" s="7"/>
      <c r="D16" s="5"/>
      <c r="E16" s="5"/>
      <c r="F16" s="5"/>
      <c r="G16" s="5"/>
      <c r="I16" t="s">
        <v>40</v>
      </c>
      <c r="J16" s="5">
        <f>SUMIF(tblJaneiro[Categoria],Tabela3[[#This Row],[Categoria]],tblJaneiro[Valor])</f>
        <v>0</v>
      </c>
      <c r="L16" s="13">
        <v>43480</v>
      </c>
      <c r="M16">
        <v>4.5</v>
      </c>
    </row>
    <row r="17" spans="2:13" x14ac:dyDescent="0.25">
      <c r="B17" s="5"/>
      <c r="C17" s="7"/>
      <c r="D17" s="5"/>
      <c r="E17" s="5"/>
      <c r="F17" s="5"/>
      <c r="G17" s="5"/>
      <c r="I17" t="s">
        <v>41</v>
      </c>
      <c r="J17" s="5">
        <f>SUMIF(tblJaneiro[Categoria],Tabela3[[#This Row],[Categoria]],tblJaneiro[Valor])</f>
        <v>0</v>
      </c>
      <c r="L17" s="13">
        <v>43481</v>
      </c>
      <c r="M17">
        <v>4.5</v>
      </c>
    </row>
    <row r="18" spans="2:13" x14ac:dyDescent="0.25">
      <c r="B18" s="5"/>
      <c r="C18" s="7"/>
      <c r="D18" s="5"/>
      <c r="E18" s="5"/>
      <c r="F18" s="5"/>
      <c r="G18" s="5"/>
      <c r="I18" t="s">
        <v>42</v>
      </c>
      <c r="J18" s="5">
        <f>SUMIF(tblJaneiro[Categoria],Tabela3[[#This Row],[Categoria]],tblJaneiro[Valor])</f>
        <v>0</v>
      </c>
      <c r="L18" s="13">
        <v>43482</v>
      </c>
      <c r="M18">
        <v>4.5</v>
      </c>
    </row>
    <row r="19" spans="2:13" x14ac:dyDescent="0.25">
      <c r="B19" s="5"/>
      <c r="C19" s="7"/>
      <c r="D19" s="5"/>
      <c r="E19" s="5"/>
      <c r="F19" s="5"/>
      <c r="G19" s="5"/>
      <c r="I19" t="s">
        <v>18</v>
      </c>
      <c r="J19" s="12">
        <f>SUBTOTAL(109,Tabela3[Total])</f>
        <v>0</v>
      </c>
      <c r="L19" s="13">
        <v>43483</v>
      </c>
      <c r="M19">
        <v>4.5</v>
      </c>
    </row>
    <row r="20" spans="2:13" x14ac:dyDescent="0.25">
      <c r="B20" s="5"/>
      <c r="C20" s="7"/>
      <c r="D20" s="5"/>
      <c r="E20" s="5"/>
      <c r="F20" s="5"/>
      <c r="G20" s="5"/>
      <c r="L20" s="13">
        <v>43484</v>
      </c>
      <c r="M20">
        <v>4.5</v>
      </c>
    </row>
    <row r="21" spans="2:13" x14ac:dyDescent="0.25">
      <c r="B21" s="5"/>
      <c r="C21" s="7"/>
      <c r="D21" s="5"/>
      <c r="E21" s="5"/>
      <c r="F21" s="5"/>
      <c r="G21" s="5"/>
      <c r="L21" s="13">
        <v>43485</v>
      </c>
      <c r="M21">
        <v>4.5</v>
      </c>
    </row>
    <row r="22" spans="2:13" x14ac:dyDescent="0.25">
      <c r="B22" s="5"/>
      <c r="C22" s="7"/>
      <c r="D22" s="5"/>
      <c r="E22" s="5"/>
      <c r="F22" s="5"/>
      <c r="G22" s="5"/>
      <c r="L22" s="13">
        <v>43486</v>
      </c>
      <c r="M22">
        <v>4.5</v>
      </c>
    </row>
    <row r="23" spans="2:13" x14ac:dyDescent="0.25">
      <c r="B23" s="5"/>
      <c r="C23" s="7"/>
      <c r="D23" s="5"/>
      <c r="E23" s="5"/>
      <c r="F23" s="5"/>
      <c r="G23" s="5"/>
      <c r="L23" s="13">
        <v>43487</v>
      </c>
      <c r="M23">
        <v>4.5</v>
      </c>
    </row>
    <row r="24" spans="2:13" x14ac:dyDescent="0.25">
      <c r="B24" s="5"/>
      <c r="C24" s="7"/>
      <c r="D24" s="5"/>
      <c r="E24" s="5"/>
      <c r="F24" s="5"/>
      <c r="G24" s="5"/>
      <c r="L24" s="13">
        <v>43488</v>
      </c>
      <c r="M24">
        <v>4.5</v>
      </c>
    </row>
    <row r="25" spans="2:13" x14ac:dyDescent="0.25">
      <c r="B25" s="5"/>
      <c r="C25" s="7"/>
      <c r="D25" s="5"/>
      <c r="E25" s="5"/>
      <c r="F25" s="5"/>
      <c r="G25" s="5"/>
      <c r="L25" s="13">
        <v>43489</v>
      </c>
      <c r="M25">
        <v>4.5</v>
      </c>
    </row>
    <row r="26" spans="2:13" x14ac:dyDescent="0.25">
      <c r="B26" s="5"/>
      <c r="C26" s="7"/>
      <c r="D26" s="5"/>
      <c r="E26" s="5"/>
      <c r="F26" s="5"/>
      <c r="G26" s="5"/>
      <c r="L26" s="13">
        <v>43490</v>
      </c>
      <c r="M26">
        <v>4.5</v>
      </c>
    </row>
    <row r="27" spans="2:13" x14ac:dyDescent="0.25">
      <c r="B27" s="5"/>
      <c r="C27" s="7"/>
      <c r="D27" s="5"/>
      <c r="E27" s="5"/>
      <c r="F27" s="5"/>
      <c r="G27" s="5"/>
      <c r="L27" s="13">
        <v>43491</v>
      </c>
      <c r="M27">
        <v>4.5</v>
      </c>
    </row>
    <row r="28" spans="2:13" x14ac:dyDescent="0.25">
      <c r="B28" s="5"/>
      <c r="C28" s="7"/>
      <c r="D28" s="5"/>
      <c r="E28" s="5"/>
      <c r="F28" s="5"/>
      <c r="G28" s="5"/>
      <c r="L28" s="13">
        <v>43492</v>
      </c>
      <c r="M28">
        <v>4.5</v>
      </c>
    </row>
    <row r="29" spans="2:13" x14ac:dyDescent="0.25">
      <c r="B29" s="5"/>
      <c r="C29" s="7"/>
      <c r="D29" s="5"/>
      <c r="E29" s="5"/>
      <c r="F29" s="5"/>
      <c r="G29" s="5"/>
      <c r="L29" s="13">
        <v>43493</v>
      </c>
      <c r="M29">
        <v>4.5</v>
      </c>
    </row>
    <row r="30" spans="2:13" x14ac:dyDescent="0.25">
      <c r="B30" s="5"/>
      <c r="C30" s="7"/>
      <c r="D30" s="5"/>
      <c r="E30" s="5"/>
      <c r="F30" s="5"/>
      <c r="G30" s="5"/>
      <c r="L30" s="13">
        <v>43494</v>
      </c>
      <c r="M30">
        <v>4.5</v>
      </c>
    </row>
    <row r="31" spans="2:13" x14ac:dyDescent="0.25">
      <c r="B31" s="5"/>
      <c r="C31" s="7"/>
      <c r="D31" s="5"/>
      <c r="E31" s="5"/>
      <c r="F31" s="5"/>
      <c r="G31" s="5"/>
      <c r="L31" s="13">
        <v>43495</v>
      </c>
      <c r="M31">
        <v>4.5</v>
      </c>
    </row>
    <row r="32" spans="2:13" x14ac:dyDescent="0.25">
      <c r="B32" s="5"/>
      <c r="C32" s="7"/>
      <c r="D32" s="5"/>
      <c r="E32" s="5"/>
      <c r="F32" s="5"/>
      <c r="G32" s="5"/>
      <c r="L32" s="13">
        <v>43496</v>
      </c>
      <c r="M32">
        <v>4.5</v>
      </c>
    </row>
    <row r="33" spans="2:13" x14ac:dyDescent="0.25">
      <c r="B33" s="5"/>
      <c r="C33" s="7"/>
      <c r="D33" s="5"/>
      <c r="E33" s="5"/>
      <c r="F33" s="5"/>
      <c r="G33" s="5"/>
      <c r="M33">
        <f>SUM(M2:M32)</f>
        <v>139.5</v>
      </c>
    </row>
    <row r="34" spans="2:13" x14ac:dyDescent="0.25">
      <c r="B34" s="11"/>
      <c r="C34" s="7"/>
      <c r="D34" s="7"/>
      <c r="E34" s="5"/>
      <c r="F34" s="5"/>
      <c r="G34" s="5"/>
    </row>
    <row r="35" spans="2:13" x14ac:dyDescent="0.25">
      <c r="B35" s="5"/>
      <c r="C35" s="7"/>
      <c r="D35" s="7"/>
      <c r="E35" s="5"/>
      <c r="F35" s="5"/>
      <c r="G35" s="5"/>
    </row>
    <row r="36" spans="2:13" x14ac:dyDescent="0.25">
      <c r="B36" s="5"/>
      <c r="C36" s="7"/>
      <c r="D36" s="5"/>
      <c r="E36" s="5"/>
      <c r="F36" s="5"/>
      <c r="G36" s="5"/>
    </row>
    <row r="37" spans="2:13" x14ac:dyDescent="0.25">
      <c r="B37" s="5"/>
      <c r="C37" s="7"/>
      <c r="D37" s="5"/>
      <c r="E37" s="5"/>
      <c r="F37" s="5"/>
      <c r="G37" s="5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'2022'!$B$3:$B$19</xm:f>
          </x14:formula1>
          <xm:sqref>A2:A3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M39"/>
  <sheetViews>
    <sheetView workbookViewId="0">
      <selection activeCell="G34" sqref="G34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7.85546875" bestFit="1" customWidth="1"/>
    <col min="5" max="5" width="9.42578125" bestFit="1" customWidth="1"/>
    <col min="6" max="6" width="9.85546875" bestFit="1" customWidth="1"/>
    <col min="7" max="7" width="21.42578125" bestFit="1" customWidth="1"/>
    <col min="8" max="8" width="1.42578125" customWidth="1"/>
    <col min="9" max="9" width="13.85546875" bestFit="1" customWidth="1"/>
    <col min="10" max="10" width="8.42578125" bestFit="1" customWidth="1"/>
    <col min="12" max="12" width="10.7109375" bestFit="1" customWidth="1"/>
    <col min="13" max="13" width="4" bestFit="1" customWidth="1"/>
  </cols>
  <sheetData>
    <row r="1" spans="1:13" s="9" customFormat="1" x14ac:dyDescent="0.25">
      <c r="A1" s="9" t="s">
        <v>0</v>
      </c>
      <c r="B1" s="9" t="s">
        <v>23</v>
      </c>
      <c r="C1" s="10" t="s">
        <v>24</v>
      </c>
      <c r="D1" s="9" t="s">
        <v>36</v>
      </c>
      <c r="E1" s="9" t="s">
        <v>35</v>
      </c>
      <c r="F1" s="9" t="s">
        <v>34</v>
      </c>
      <c r="G1" s="9" t="s">
        <v>33</v>
      </c>
      <c r="I1" s="9" t="s">
        <v>0</v>
      </c>
      <c r="J1" s="9" t="s">
        <v>18</v>
      </c>
    </row>
    <row r="2" spans="1:13" x14ac:dyDescent="0.25">
      <c r="B2" s="5"/>
      <c r="C2" s="7"/>
      <c r="D2" s="5"/>
      <c r="E2" s="5"/>
      <c r="F2" s="5"/>
      <c r="G2" s="5"/>
      <c r="I2" t="s">
        <v>1</v>
      </c>
      <c r="J2" s="5">
        <f>SUMIF(tblJaneiro12[Categoria],Tabela313[[#This Row],[Categoria]],tblJaneiro12[Valor])</f>
        <v>0</v>
      </c>
      <c r="L2" s="13">
        <v>43497</v>
      </c>
      <c r="M2">
        <v>4.5</v>
      </c>
    </row>
    <row r="3" spans="1:13" x14ac:dyDescent="0.25">
      <c r="B3" s="5"/>
      <c r="C3" s="7"/>
      <c r="D3" s="5"/>
      <c r="E3" s="5"/>
      <c r="F3" s="5"/>
      <c r="G3" s="5"/>
      <c r="I3" t="s">
        <v>2</v>
      </c>
      <c r="J3" s="5">
        <f>SUMIF(tblJaneiro12[Categoria],Tabela313[[#This Row],[Categoria]],tblJaneiro12[Valor])</f>
        <v>0</v>
      </c>
      <c r="L3" s="13">
        <v>43498</v>
      </c>
      <c r="M3">
        <v>4.5</v>
      </c>
    </row>
    <row r="4" spans="1:13" x14ac:dyDescent="0.25">
      <c r="B4" s="5"/>
      <c r="C4" s="7"/>
      <c r="D4" s="5"/>
      <c r="E4" s="5"/>
      <c r="F4" s="5"/>
      <c r="G4" s="5"/>
      <c r="I4" t="s">
        <v>25</v>
      </c>
      <c r="J4" s="5">
        <f>SUMIF(tblJaneiro12[Categoria],Tabela313[[#This Row],[Categoria]],tblJaneiro12[Valor])</f>
        <v>0</v>
      </c>
      <c r="L4" s="13">
        <v>43499</v>
      </c>
      <c r="M4">
        <v>4.5</v>
      </c>
    </row>
    <row r="5" spans="1:13" x14ac:dyDescent="0.25">
      <c r="B5" s="5"/>
      <c r="C5" s="7"/>
      <c r="D5" s="5"/>
      <c r="E5" s="5"/>
      <c r="F5" s="5"/>
      <c r="G5" s="5"/>
      <c r="I5" t="s">
        <v>26</v>
      </c>
      <c r="J5" s="5">
        <f>SUMIF(tblJaneiro12[Categoria],Tabela313[[#This Row],[Categoria]],tblJaneiro12[Valor])</f>
        <v>0</v>
      </c>
      <c r="L5" s="13">
        <v>43500</v>
      </c>
      <c r="M5">
        <v>4.5</v>
      </c>
    </row>
    <row r="6" spans="1:13" x14ac:dyDescent="0.25">
      <c r="B6" s="5"/>
      <c r="C6" s="7"/>
      <c r="D6" s="5"/>
      <c r="E6" s="5"/>
      <c r="F6" s="5"/>
      <c r="G6" s="5"/>
      <c r="I6" t="s">
        <v>27</v>
      </c>
      <c r="J6" s="5">
        <f>SUMIF(tblJaneiro12[Categoria],Tabela313[[#This Row],[Categoria]],tblJaneiro12[Valor])</f>
        <v>0</v>
      </c>
      <c r="L6" s="13">
        <v>43501</v>
      </c>
      <c r="M6">
        <v>4.5</v>
      </c>
    </row>
    <row r="7" spans="1:13" x14ac:dyDescent="0.25">
      <c r="B7" s="5"/>
      <c r="C7" s="7"/>
      <c r="D7" s="5"/>
      <c r="E7" s="5"/>
      <c r="F7" s="5"/>
      <c r="G7" s="5"/>
      <c r="I7" t="s">
        <v>28</v>
      </c>
      <c r="J7" s="5">
        <f>SUMIF(tblJaneiro12[Categoria],Tabela313[[#This Row],[Categoria]],tblJaneiro12[Valor])</f>
        <v>0</v>
      </c>
      <c r="L7" s="13">
        <v>43502</v>
      </c>
      <c r="M7">
        <v>4.5</v>
      </c>
    </row>
    <row r="8" spans="1:13" x14ac:dyDescent="0.25">
      <c r="B8" s="5"/>
      <c r="C8" s="7"/>
      <c r="D8" s="5"/>
      <c r="E8" s="5"/>
      <c r="F8" s="5"/>
      <c r="G8" s="5"/>
      <c r="I8" t="s">
        <v>29</v>
      </c>
      <c r="J8" s="5">
        <f>SUMIF(tblJaneiro12[Categoria],Tabela313[[#This Row],[Categoria]],tblJaneiro12[Valor])</f>
        <v>0</v>
      </c>
      <c r="L8" s="13">
        <v>43503</v>
      </c>
      <c r="M8">
        <v>4.5</v>
      </c>
    </row>
    <row r="9" spans="1:13" x14ac:dyDescent="0.25">
      <c r="B9" s="5"/>
      <c r="C9" s="7"/>
      <c r="D9" s="5"/>
      <c r="E9" s="5"/>
      <c r="F9" s="5"/>
      <c r="G9" s="5"/>
      <c r="I9" t="s">
        <v>30</v>
      </c>
      <c r="J9" s="5">
        <f>SUMIF(tblJaneiro12[Categoria],Tabela313[[#This Row],[Categoria]],tblJaneiro12[Valor])</f>
        <v>0</v>
      </c>
      <c r="L9" s="13">
        <v>43504</v>
      </c>
      <c r="M9">
        <v>4.5</v>
      </c>
    </row>
    <row r="10" spans="1:13" x14ac:dyDescent="0.25">
      <c r="B10" s="5"/>
      <c r="C10" s="7"/>
      <c r="D10" s="5"/>
      <c r="E10" s="5"/>
      <c r="F10" s="5"/>
      <c r="G10" s="5"/>
      <c r="I10" t="s">
        <v>19</v>
      </c>
      <c r="J10" s="5">
        <f>SUMIF(tblJaneiro12[Categoria],Tabela313[[#This Row],[Categoria]],tblJaneiro12[Valor])</f>
        <v>0</v>
      </c>
      <c r="L10" s="13">
        <v>43505</v>
      </c>
      <c r="M10">
        <v>4.5</v>
      </c>
    </row>
    <row r="11" spans="1:13" x14ac:dyDescent="0.25">
      <c r="B11" s="5"/>
      <c r="C11" s="7"/>
      <c r="D11" s="5"/>
      <c r="E11" s="5"/>
      <c r="F11" s="5"/>
      <c r="G11" s="5"/>
      <c r="I11" t="s">
        <v>32</v>
      </c>
      <c r="J11" s="5">
        <f>SUMIF(tblJaneiro12[Categoria],Tabela313[[#This Row],[Categoria]],tblJaneiro12[Valor])</f>
        <v>0</v>
      </c>
      <c r="L11" s="13">
        <v>43506</v>
      </c>
      <c r="M11">
        <v>4.5</v>
      </c>
    </row>
    <row r="12" spans="1:13" x14ac:dyDescent="0.25">
      <c r="B12" s="5"/>
      <c r="C12" s="7"/>
      <c r="D12" s="5"/>
      <c r="E12" s="5"/>
      <c r="F12" s="5"/>
      <c r="G12" s="5"/>
      <c r="I12" t="s">
        <v>31</v>
      </c>
      <c r="J12" s="5">
        <f>SUMIF(tblJaneiro12[Categoria],Tabela313[[#This Row],[Categoria]],tblJaneiro12[Valor])</f>
        <v>0</v>
      </c>
      <c r="L12" s="13">
        <v>43507</v>
      </c>
      <c r="M12">
        <v>4.5</v>
      </c>
    </row>
    <row r="13" spans="1:13" x14ac:dyDescent="0.25">
      <c r="B13" s="5"/>
      <c r="C13" s="7"/>
      <c r="D13" s="5"/>
      <c r="E13" s="5"/>
      <c r="F13" s="5"/>
      <c r="G13" s="5"/>
      <c r="I13" t="s">
        <v>37</v>
      </c>
      <c r="J13" s="5">
        <f>SUMIF(tblJaneiro12[Categoria],Tabela313[[#This Row],[Categoria]],tblJaneiro12[Valor])</f>
        <v>0</v>
      </c>
      <c r="L13" s="13">
        <v>43508</v>
      </c>
      <c r="M13">
        <v>4.5</v>
      </c>
    </row>
    <row r="14" spans="1:13" x14ac:dyDescent="0.25">
      <c r="B14" s="5"/>
      <c r="C14" s="7"/>
      <c r="D14" s="5"/>
      <c r="E14" s="5"/>
      <c r="F14" s="5"/>
      <c r="G14" s="5"/>
      <c r="I14" t="s">
        <v>38</v>
      </c>
      <c r="J14" s="5">
        <f>SUMIF(tblJaneiro12[Categoria],Tabela313[[#This Row],[Categoria]],tblJaneiro12[Valor])</f>
        <v>0</v>
      </c>
      <c r="L14" s="13">
        <v>43509</v>
      </c>
      <c r="M14">
        <v>4.5</v>
      </c>
    </row>
    <row r="15" spans="1:13" x14ac:dyDescent="0.25">
      <c r="B15" s="5"/>
      <c r="C15" s="7"/>
      <c r="D15" s="5"/>
      <c r="E15" s="5"/>
      <c r="F15" s="5"/>
      <c r="G15" s="5"/>
      <c r="I15" t="s">
        <v>39</v>
      </c>
      <c r="J15" s="5">
        <f>SUMIF(tblJaneiro12[Categoria],Tabela313[[#This Row],[Categoria]],tblJaneiro12[Valor])</f>
        <v>0</v>
      </c>
      <c r="L15" s="13">
        <v>43510</v>
      </c>
      <c r="M15">
        <v>4.5</v>
      </c>
    </row>
    <row r="16" spans="1:13" x14ac:dyDescent="0.25">
      <c r="B16" s="5"/>
      <c r="C16" s="7"/>
      <c r="D16" s="5"/>
      <c r="E16" s="5"/>
      <c r="F16" s="5"/>
      <c r="G16" s="5"/>
      <c r="I16" t="s">
        <v>40</v>
      </c>
      <c r="J16" s="5">
        <f>SUMIF(tblJaneiro12[Categoria],Tabela313[[#This Row],[Categoria]],tblJaneiro12[Valor])</f>
        <v>0</v>
      </c>
      <c r="L16" s="13">
        <v>43511</v>
      </c>
      <c r="M16">
        <v>4.5</v>
      </c>
    </row>
    <row r="17" spans="2:13" x14ac:dyDescent="0.25">
      <c r="B17" s="5"/>
      <c r="C17" s="7"/>
      <c r="D17" s="5"/>
      <c r="E17" s="5"/>
      <c r="F17" s="5"/>
      <c r="G17" s="5"/>
      <c r="I17" t="s">
        <v>41</v>
      </c>
      <c r="J17" s="5">
        <f>SUMIF(tblJaneiro12[Categoria],Tabela313[[#This Row],[Categoria]],tblJaneiro12[Valor])</f>
        <v>0</v>
      </c>
      <c r="L17" s="13">
        <v>43512</v>
      </c>
      <c r="M17">
        <v>4.5</v>
      </c>
    </row>
    <row r="18" spans="2:13" x14ac:dyDescent="0.25">
      <c r="B18" s="5"/>
      <c r="C18" s="7"/>
      <c r="D18" s="5"/>
      <c r="E18" s="5"/>
      <c r="F18" s="5"/>
      <c r="G18" s="5"/>
      <c r="I18" t="s">
        <v>42</v>
      </c>
      <c r="J18" s="5">
        <f>SUMIF(tblJaneiro12[Categoria],Tabela313[[#This Row],[Categoria]],tblJaneiro12[Valor])</f>
        <v>0</v>
      </c>
      <c r="L18" s="13">
        <v>43513</v>
      </c>
      <c r="M18">
        <v>4.5</v>
      </c>
    </row>
    <row r="19" spans="2:13" x14ac:dyDescent="0.25">
      <c r="B19" s="5"/>
      <c r="C19" s="7"/>
      <c r="D19" s="5"/>
      <c r="E19" s="5"/>
      <c r="F19" s="5"/>
      <c r="G19" s="5"/>
      <c r="I19" t="s">
        <v>18</v>
      </c>
      <c r="J19" s="12">
        <f>SUBTOTAL(109,Tabela313[Total])</f>
        <v>0</v>
      </c>
      <c r="L19" s="13">
        <v>43514</v>
      </c>
      <c r="M19">
        <v>4.5</v>
      </c>
    </row>
    <row r="20" spans="2:13" x14ac:dyDescent="0.25">
      <c r="B20" s="5"/>
      <c r="C20" s="7"/>
      <c r="D20" s="5"/>
      <c r="E20" s="5"/>
      <c r="F20" s="5"/>
      <c r="G20" s="5"/>
      <c r="L20" s="13">
        <v>43515</v>
      </c>
      <c r="M20">
        <v>4.5</v>
      </c>
    </row>
    <row r="21" spans="2:13" x14ac:dyDescent="0.25">
      <c r="B21" s="5"/>
      <c r="C21" s="7"/>
      <c r="D21" s="5"/>
      <c r="E21" s="5"/>
      <c r="F21" s="5"/>
      <c r="G21" s="5"/>
      <c r="L21" s="13">
        <v>43516</v>
      </c>
      <c r="M21">
        <v>4.5</v>
      </c>
    </row>
    <row r="22" spans="2:13" x14ac:dyDescent="0.25">
      <c r="B22" s="5"/>
      <c r="C22" s="7"/>
      <c r="D22" s="5"/>
      <c r="E22" s="5"/>
      <c r="F22" s="5"/>
      <c r="G22" s="5"/>
      <c r="L22" s="13">
        <v>43517</v>
      </c>
      <c r="M22">
        <v>4.5</v>
      </c>
    </row>
    <row r="23" spans="2:13" x14ac:dyDescent="0.25">
      <c r="B23" s="5"/>
      <c r="C23" s="7"/>
      <c r="D23" s="5"/>
      <c r="E23" s="5"/>
      <c r="F23" s="5"/>
      <c r="G23" s="5"/>
      <c r="L23" s="13">
        <v>43518</v>
      </c>
      <c r="M23">
        <v>4.5</v>
      </c>
    </row>
    <row r="24" spans="2:13" x14ac:dyDescent="0.25">
      <c r="B24" s="5"/>
      <c r="C24" s="7"/>
      <c r="D24" s="5"/>
      <c r="E24" s="5"/>
      <c r="F24" s="5"/>
      <c r="G24" s="5"/>
      <c r="L24" s="13">
        <v>43519</v>
      </c>
      <c r="M24">
        <v>4.5</v>
      </c>
    </row>
    <row r="25" spans="2:13" x14ac:dyDescent="0.25">
      <c r="B25" s="5"/>
      <c r="C25" s="7"/>
      <c r="D25" s="5"/>
      <c r="E25" s="5"/>
      <c r="F25" s="5"/>
      <c r="G25" s="5"/>
      <c r="L25" s="13">
        <v>43520</v>
      </c>
      <c r="M25">
        <v>4.5</v>
      </c>
    </row>
    <row r="26" spans="2:13" x14ac:dyDescent="0.25">
      <c r="B26" s="5"/>
      <c r="C26" s="7"/>
      <c r="D26" s="5"/>
      <c r="E26" s="5"/>
      <c r="F26" s="5"/>
      <c r="G26" s="5"/>
      <c r="L26" s="13">
        <v>43521</v>
      </c>
      <c r="M26">
        <v>4.5</v>
      </c>
    </row>
    <row r="27" spans="2:13" x14ac:dyDescent="0.25">
      <c r="B27" s="5"/>
      <c r="C27" s="7"/>
      <c r="D27" s="5"/>
      <c r="E27" s="5"/>
      <c r="F27" s="5"/>
      <c r="G27" s="5"/>
      <c r="L27" s="13">
        <v>43522</v>
      </c>
      <c r="M27">
        <v>4.5</v>
      </c>
    </row>
    <row r="28" spans="2:13" x14ac:dyDescent="0.25">
      <c r="B28" s="5"/>
      <c r="C28" s="7"/>
      <c r="D28" s="5"/>
      <c r="E28" s="5"/>
      <c r="F28" s="5"/>
      <c r="G28" s="5"/>
      <c r="L28" s="13">
        <v>43523</v>
      </c>
      <c r="M28">
        <v>4.5</v>
      </c>
    </row>
    <row r="29" spans="2:13" x14ac:dyDescent="0.25">
      <c r="B29" s="5"/>
      <c r="C29" s="7"/>
      <c r="D29" s="5"/>
      <c r="E29" s="5"/>
      <c r="F29" s="5"/>
      <c r="G29" s="5"/>
      <c r="L29" s="13">
        <v>43524</v>
      </c>
      <c r="M29">
        <v>4.5</v>
      </c>
    </row>
    <row r="30" spans="2:13" x14ac:dyDescent="0.25">
      <c r="B30" s="5"/>
      <c r="C30" s="7"/>
      <c r="D30" s="5"/>
      <c r="E30" s="5"/>
      <c r="F30" s="5"/>
      <c r="G30" s="5"/>
      <c r="M30">
        <f>SUM(M2:M29)</f>
        <v>126</v>
      </c>
    </row>
    <row r="31" spans="2:13" x14ac:dyDescent="0.25">
      <c r="B31" s="5"/>
      <c r="C31" s="7"/>
      <c r="D31" s="5"/>
      <c r="E31" s="5"/>
      <c r="F31" s="5"/>
      <c r="G31" s="5"/>
    </row>
    <row r="32" spans="2:13" x14ac:dyDescent="0.25">
      <c r="B32" s="5"/>
      <c r="C32" s="7"/>
      <c r="D32" s="5"/>
      <c r="E32" s="5"/>
      <c r="F32" s="5"/>
      <c r="G32" s="5"/>
    </row>
    <row r="33" spans="2:7" x14ac:dyDescent="0.25">
      <c r="B33" s="5"/>
      <c r="C33" s="7"/>
      <c r="D33" s="5"/>
      <c r="E33" s="5"/>
      <c r="F33" s="5"/>
      <c r="G33" s="5"/>
    </row>
    <row r="34" spans="2:7" x14ac:dyDescent="0.25">
      <c r="B34" s="11"/>
      <c r="C34" s="7"/>
      <c r="D34" s="7"/>
      <c r="E34" s="5"/>
      <c r="F34" s="5"/>
      <c r="G34" s="5"/>
    </row>
    <row r="35" spans="2:7" x14ac:dyDescent="0.25">
      <c r="B35" s="5"/>
      <c r="C35" s="7"/>
      <c r="D35" s="7"/>
      <c r="E35" s="5"/>
      <c r="F35" s="5"/>
      <c r="G35" s="5"/>
    </row>
    <row r="36" spans="2:7" x14ac:dyDescent="0.25">
      <c r="B36" s="5"/>
      <c r="C36" s="7"/>
      <c r="D36" s="5"/>
      <c r="E36" s="5"/>
      <c r="F36" s="5"/>
      <c r="G36" s="5"/>
    </row>
    <row r="37" spans="2:7" x14ac:dyDescent="0.25">
      <c r="B37" s="5"/>
      <c r="C37" s="7"/>
      <c r="D37" s="5"/>
      <c r="E37" s="5"/>
      <c r="F37" s="5"/>
      <c r="G37" s="5"/>
    </row>
    <row r="38" spans="2:7" x14ac:dyDescent="0.25">
      <c r="B38" s="5"/>
      <c r="C38" s="7"/>
      <c r="D38" s="5"/>
      <c r="E38" s="5"/>
      <c r="F38" s="5"/>
      <c r="G38" s="5"/>
    </row>
    <row r="39" spans="2:7" x14ac:dyDescent="0.25">
      <c r="B39" s="5"/>
      <c r="C39" s="7"/>
      <c r="D39" s="5"/>
      <c r="E39" s="5"/>
      <c r="F39" s="5"/>
      <c r="G39" s="5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'2022'!$B$3:$B$19</xm:f>
          </x14:formula1>
          <xm:sqref>A2:A3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M52"/>
  <sheetViews>
    <sheetView workbookViewId="0">
      <selection activeCell="A2" sqref="A2:G52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7.85546875" bestFit="1" customWidth="1"/>
    <col min="5" max="5" width="9.42578125" bestFit="1" customWidth="1"/>
    <col min="6" max="6" width="9.85546875" bestFit="1" customWidth="1"/>
    <col min="7" max="7" width="21.42578125" bestFit="1" customWidth="1"/>
    <col min="8" max="8" width="1.42578125" customWidth="1"/>
    <col min="9" max="9" width="13.85546875" bestFit="1" customWidth="1"/>
    <col min="10" max="10" width="10.85546875" bestFit="1" customWidth="1"/>
    <col min="12" max="12" width="10.7109375" bestFit="1" customWidth="1"/>
  </cols>
  <sheetData>
    <row r="1" spans="1:13" s="9" customFormat="1" x14ac:dyDescent="0.25">
      <c r="A1" s="9" t="s">
        <v>0</v>
      </c>
      <c r="B1" s="9" t="s">
        <v>23</v>
      </c>
      <c r="C1" s="10" t="s">
        <v>24</v>
      </c>
      <c r="D1" s="9" t="s">
        <v>36</v>
      </c>
      <c r="E1" s="9" t="s">
        <v>35</v>
      </c>
      <c r="F1" s="9" t="s">
        <v>34</v>
      </c>
      <c r="G1" s="9" t="s">
        <v>33</v>
      </c>
      <c r="I1" s="9" t="s">
        <v>0</v>
      </c>
      <c r="J1" s="9" t="s">
        <v>18</v>
      </c>
    </row>
    <row r="2" spans="1:13" x14ac:dyDescent="0.25">
      <c r="B2" s="5"/>
      <c r="C2" s="7"/>
      <c r="D2" s="5"/>
      <c r="E2" s="5"/>
      <c r="F2" s="5"/>
      <c r="G2" s="5"/>
      <c r="I2" t="s">
        <v>1</v>
      </c>
      <c r="J2" s="5">
        <f>SUMIF(tblJaneiro1214[Categoria],Tabela31315[[#This Row],[Categoria]],tblJaneiro1214[Valor])</f>
        <v>0</v>
      </c>
      <c r="L2" s="13">
        <v>43525</v>
      </c>
      <c r="M2">
        <v>4.5</v>
      </c>
    </row>
    <row r="3" spans="1:13" x14ac:dyDescent="0.25">
      <c r="B3" s="5"/>
      <c r="C3" s="7"/>
      <c r="D3" s="5"/>
      <c r="E3" s="5"/>
      <c r="F3" s="5"/>
      <c r="G3" s="5"/>
      <c r="I3" t="s">
        <v>2</v>
      </c>
      <c r="J3" s="5">
        <f>SUMIF(tblJaneiro1214[Categoria],Tabela31315[[#This Row],[Categoria]],tblJaneiro1214[Valor])</f>
        <v>0</v>
      </c>
      <c r="L3" s="13">
        <v>43526</v>
      </c>
      <c r="M3">
        <v>4.5</v>
      </c>
    </row>
    <row r="4" spans="1:13" x14ac:dyDescent="0.25">
      <c r="B4" s="5"/>
      <c r="C4" s="7"/>
      <c r="D4" s="5"/>
      <c r="E4" s="5"/>
      <c r="F4" s="5"/>
      <c r="G4" s="5"/>
      <c r="I4" t="s">
        <v>25</v>
      </c>
      <c r="J4" s="5">
        <f>SUMIF(tblJaneiro1214[Categoria],Tabela31315[[#This Row],[Categoria]],tblJaneiro1214[Valor])</f>
        <v>0</v>
      </c>
      <c r="L4" s="13">
        <v>43527</v>
      </c>
      <c r="M4">
        <v>4.5</v>
      </c>
    </row>
    <row r="5" spans="1:13" x14ac:dyDescent="0.25">
      <c r="B5" s="5"/>
      <c r="C5" s="7"/>
      <c r="D5" s="5"/>
      <c r="E5" s="5"/>
      <c r="F5" s="5"/>
      <c r="G5" s="5"/>
      <c r="I5" t="s">
        <v>26</v>
      </c>
      <c r="J5" s="5">
        <f>SUMIF(tblJaneiro1214[Categoria],Tabela31315[[#This Row],[Categoria]],tblJaneiro1214[Valor])</f>
        <v>0</v>
      </c>
      <c r="L5" s="13">
        <v>43528</v>
      </c>
      <c r="M5">
        <v>4.5</v>
      </c>
    </row>
    <row r="6" spans="1:13" x14ac:dyDescent="0.25">
      <c r="B6" s="5"/>
      <c r="C6" s="7"/>
      <c r="D6" s="5"/>
      <c r="E6" s="5"/>
      <c r="F6" s="5"/>
      <c r="G6" s="5"/>
      <c r="I6" t="s">
        <v>27</v>
      </c>
      <c r="J6" s="5">
        <f>SUMIF(tblJaneiro1214[Categoria],Tabela31315[[#This Row],[Categoria]],tblJaneiro1214[Valor])</f>
        <v>0</v>
      </c>
      <c r="L6" s="13">
        <v>43529</v>
      </c>
      <c r="M6">
        <v>4.5</v>
      </c>
    </row>
    <row r="7" spans="1:13" x14ac:dyDescent="0.25">
      <c r="B7" s="5"/>
      <c r="C7" s="7"/>
      <c r="D7" s="5"/>
      <c r="E7" s="5"/>
      <c r="F7" s="5"/>
      <c r="G7" s="5"/>
      <c r="I7" t="s">
        <v>28</v>
      </c>
      <c r="J7" s="5">
        <f>SUMIF(tblJaneiro1214[Categoria],Tabela31315[[#This Row],[Categoria]],tblJaneiro1214[Valor])</f>
        <v>0</v>
      </c>
      <c r="L7" s="13">
        <v>43530</v>
      </c>
      <c r="M7">
        <v>4.5</v>
      </c>
    </row>
    <row r="8" spans="1:13" x14ac:dyDescent="0.25">
      <c r="B8" s="5"/>
      <c r="C8" s="7"/>
      <c r="D8" s="5"/>
      <c r="E8" s="5"/>
      <c r="F8" s="5"/>
      <c r="G8" s="5"/>
      <c r="I8" t="s">
        <v>29</v>
      </c>
      <c r="J8" s="5">
        <f>SUMIF(tblJaneiro1214[Categoria],Tabela31315[[#This Row],[Categoria]],tblJaneiro1214[Valor])</f>
        <v>0</v>
      </c>
      <c r="L8" s="13">
        <v>43531</v>
      </c>
      <c r="M8">
        <v>4.5</v>
      </c>
    </row>
    <row r="9" spans="1:13" x14ac:dyDescent="0.25">
      <c r="B9" s="5"/>
      <c r="C9" s="7"/>
      <c r="D9" s="5"/>
      <c r="E9" s="5"/>
      <c r="F9" s="5"/>
      <c r="G9" s="5"/>
      <c r="I9" t="s">
        <v>30</v>
      </c>
      <c r="J9" s="5">
        <f>SUMIF(tblJaneiro1214[Categoria],Tabela31315[[#This Row],[Categoria]],tblJaneiro1214[Valor])</f>
        <v>0</v>
      </c>
      <c r="L9" s="13">
        <v>43532</v>
      </c>
      <c r="M9">
        <v>4.5</v>
      </c>
    </row>
    <row r="10" spans="1:13" x14ac:dyDescent="0.25">
      <c r="B10" s="5"/>
      <c r="C10" s="7"/>
      <c r="D10" s="5"/>
      <c r="E10" s="5"/>
      <c r="F10" s="5"/>
      <c r="G10" s="5"/>
      <c r="I10" t="s">
        <v>19</v>
      </c>
      <c r="J10" s="5">
        <f>SUMIF(tblJaneiro1214[Categoria],Tabela31315[[#This Row],[Categoria]],tblJaneiro1214[Valor])</f>
        <v>0</v>
      </c>
      <c r="L10" s="13">
        <v>43533</v>
      </c>
      <c r="M10">
        <v>4.5</v>
      </c>
    </row>
    <row r="11" spans="1:13" x14ac:dyDescent="0.25">
      <c r="B11" s="5"/>
      <c r="C11" s="7"/>
      <c r="D11" s="5"/>
      <c r="E11" s="5"/>
      <c r="F11" s="5"/>
      <c r="G11" s="5"/>
      <c r="I11" t="s">
        <v>32</v>
      </c>
      <c r="J11" s="5">
        <f>SUMIF(tblJaneiro1214[Categoria],Tabela31315[[#This Row],[Categoria]],tblJaneiro1214[Valor])</f>
        <v>0</v>
      </c>
      <c r="L11" s="13">
        <v>43534</v>
      </c>
      <c r="M11">
        <v>4.5</v>
      </c>
    </row>
    <row r="12" spans="1:13" x14ac:dyDescent="0.25">
      <c r="B12" s="5"/>
      <c r="C12" s="7"/>
      <c r="D12" s="5"/>
      <c r="E12" s="5"/>
      <c r="F12" s="5"/>
      <c r="G12" s="5"/>
      <c r="I12" t="s">
        <v>31</v>
      </c>
      <c r="J12" s="5">
        <f>SUMIF(tblJaneiro1214[Categoria],Tabela31315[[#This Row],[Categoria]],tblJaneiro1214[Valor])</f>
        <v>0</v>
      </c>
      <c r="L12" s="13">
        <v>43535</v>
      </c>
      <c r="M12">
        <v>4.5</v>
      </c>
    </row>
    <row r="13" spans="1:13" x14ac:dyDescent="0.25">
      <c r="B13" s="5"/>
      <c r="C13" s="7"/>
      <c r="D13" s="5"/>
      <c r="E13" s="5"/>
      <c r="F13" s="5"/>
      <c r="G13" s="5"/>
      <c r="I13" t="s">
        <v>37</v>
      </c>
      <c r="J13" s="5">
        <f>SUMIF(tblJaneiro1214[Categoria],Tabela31315[[#This Row],[Categoria]],tblJaneiro1214[Valor])</f>
        <v>0</v>
      </c>
      <c r="L13" s="13">
        <v>43536</v>
      </c>
      <c r="M13">
        <v>4.5</v>
      </c>
    </row>
    <row r="14" spans="1:13" x14ac:dyDescent="0.25">
      <c r="B14" s="5"/>
      <c r="C14" s="7"/>
      <c r="D14" s="5"/>
      <c r="E14" s="5"/>
      <c r="F14" s="5"/>
      <c r="G14" s="5"/>
      <c r="I14" t="s">
        <v>38</v>
      </c>
      <c r="J14" s="5">
        <f>SUMIF(tblJaneiro1214[Categoria],Tabela31315[[#This Row],[Categoria]],tblJaneiro1214[Valor])</f>
        <v>0</v>
      </c>
      <c r="L14" s="13">
        <v>43537</v>
      </c>
      <c r="M14">
        <v>4.5</v>
      </c>
    </row>
    <row r="15" spans="1:13" x14ac:dyDescent="0.25">
      <c r="B15" s="5"/>
      <c r="C15" s="7"/>
      <c r="D15" s="5"/>
      <c r="E15" s="5"/>
      <c r="F15" s="5"/>
      <c r="G15" s="5"/>
      <c r="I15" t="s">
        <v>39</v>
      </c>
      <c r="J15" s="5">
        <f>SUMIF(tblJaneiro1214[Categoria],Tabela31315[[#This Row],[Categoria]],tblJaneiro1214[Valor])</f>
        <v>0</v>
      </c>
      <c r="L15" s="13">
        <v>43538</v>
      </c>
      <c r="M15">
        <v>4.5</v>
      </c>
    </row>
    <row r="16" spans="1:13" x14ac:dyDescent="0.25">
      <c r="B16" s="5"/>
      <c r="C16" s="7"/>
      <c r="D16" s="5"/>
      <c r="E16" s="5"/>
      <c r="F16" s="5"/>
      <c r="G16" s="5"/>
      <c r="I16" t="s">
        <v>40</v>
      </c>
      <c r="J16" s="5">
        <f>SUMIF(tblJaneiro1214[Categoria],Tabela31315[[#This Row],[Categoria]],tblJaneiro1214[Valor])</f>
        <v>0</v>
      </c>
      <c r="L16" s="13">
        <v>43539</v>
      </c>
      <c r="M16">
        <v>4.5</v>
      </c>
    </row>
    <row r="17" spans="2:13" x14ac:dyDescent="0.25">
      <c r="B17" s="5"/>
      <c r="C17" s="7"/>
      <c r="D17" s="5"/>
      <c r="E17" s="5"/>
      <c r="F17" s="5"/>
      <c r="G17" s="5"/>
      <c r="I17" t="s">
        <v>41</v>
      </c>
      <c r="J17" s="5">
        <f>SUMIF(tblJaneiro1214[Categoria],Tabela31315[[#This Row],[Categoria]],tblJaneiro1214[Valor])</f>
        <v>0</v>
      </c>
      <c r="L17" s="13">
        <v>43540</v>
      </c>
      <c r="M17">
        <v>4.5</v>
      </c>
    </row>
    <row r="18" spans="2:13" x14ac:dyDescent="0.25">
      <c r="B18" s="5"/>
      <c r="C18" s="7"/>
      <c r="D18" s="5"/>
      <c r="E18" s="5"/>
      <c r="F18" s="5"/>
      <c r="G18" s="5"/>
      <c r="I18" t="s">
        <v>42</v>
      </c>
      <c r="J18" s="5">
        <f>SUMIF(tblJaneiro1214[Categoria],Tabela31315[[#This Row],[Categoria]],tblJaneiro1214[Valor])</f>
        <v>0</v>
      </c>
      <c r="L18" s="13">
        <v>43541</v>
      </c>
      <c r="M18">
        <v>4.5</v>
      </c>
    </row>
    <row r="19" spans="2:13" x14ac:dyDescent="0.25">
      <c r="B19" s="5"/>
      <c r="C19" s="7"/>
      <c r="D19" s="5"/>
      <c r="E19" s="5"/>
      <c r="F19" s="5"/>
      <c r="G19" s="5"/>
      <c r="I19" t="s">
        <v>18</v>
      </c>
      <c r="J19" s="12">
        <f>SUBTOTAL(109,Tabela31315[Total])</f>
        <v>0</v>
      </c>
      <c r="L19" s="13">
        <v>43542</v>
      </c>
      <c r="M19">
        <v>4.5</v>
      </c>
    </row>
    <row r="20" spans="2:13" x14ac:dyDescent="0.25">
      <c r="B20" s="5"/>
      <c r="C20" s="7"/>
      <c r="D20" s="5"/>
      <c r="E20" s="5"/>
      <c r="F20" s="5"/>
      <c r="G20" s="5"/>
      <c r="L20" s="13">
        <v>43543</v>
      </c>
      <c r="M20">
        <v>4.5</v>
      </c>
    </row>
    <row r="21" spans="2:13" x14ac:dyDescent="0.25">
      <c r="B21" s="5"/>
      <c r="C21" s="7"/>
      <c r="D21" s="5"/>
      <c r="E21" s="5"/>
      <c r="F21" s="5"/>
      <c r="G21" s="5"/>
      <c r="L21" s="13">
        <v>43544</v>
      </c>
      <c r="M21">
        <v>4.5</v>
      </c>
    </row>
    <row r="22" spans="2:13" x14ac:dyDescent="0.25">
      <c r="B22" s="5"/>
      <c r="C22" s="7"/>
      <c r="D22" s="5"/>
      <c r="E22" s="5"/>
      <c r="F22" s="5"/>
      <c r="G22" s="5"/>
      <c r="L22" s="13">
        <v>43545</v>
      </c>
      <c r="M22">
        <v>4.5</v>
      </c>
    </row>
    <row r="23" spans="2:13" x14ac:dyDescent="0.25">
      <c r="B23" s="5"/>
      <c r="C23" s="7"/>
      <c r="D23" s="5"/>
      <c r="E23" s="5"/>
      <c r="F23" s="5"/>
      <c r="G23" s="5"/>
      <c r="L23" s="13">
        <v>43546</v>
      </c>
      <c r="M23">
        <v>4.5</v>
      </c>
    </row>
    <row r="24" spans="2:13" x14ac:dyDescent="0.25">
      <c r="B24" s="5"/>
      <c r="C24" s="7"/>
      <c r="D24" s="5"/>
      <c r="E24" s="5"/>
      <c r="F24" s="5"/>
      <c r="G24" s="5"/>
      <c r="L24" s="13">
        <v>43547</v>
      </c>
      <c r="M24">
        <v>4.5</v>
      </c>
    </row>
    <row r="25" spans="2:13" x14ac:dyDescent="0.25">
      <c r="B25" s="5"/>
      <c r="C25" s="7"/>
      <c r="D25" s="5"/>
      <c r="E25" s="5"/>
      <c r="F25" s="5"/>
      <c r="G25" s="5"/>
      <c r="L25" s="13">
        <v>43548</v>
      </c>
      <c r="M25">
        <v>4.5</v>
      </c>
    </row>
    <row r="26" spans="2:13" x14ac:dyDescent="0.25">
      <c r="B26" s="5"/>
      <c r="C26" s="7"/>
      <c r="D26" s="5"/>
      <c r="E26" s="5"/>
      <c r="F26" s="5"/>
      <c r="G26" s="5"/>
      <c r="L26" s="13">
        <v>43549</v>
      </c>
      <c r="M26">
        <v>4.5</v>
      </c>
    </row>
    <row r="27" spans="2:13" x14ac:dyDescent="0.25">
      <c r="B27" s="5"/>
      <c r="C27" s="7"/>
      <c r="D27" s="5"/>
      <c r="E27" s="5"/>
      <c r="F27" s="5"/>
      <c r="G27" s="5"/>
      <c r="L27" s="13">
        <v>43550</v>
      </c>
      <c r="M27">
        <v>4.5</v>
      </c>
    </row>
    <row r="28" spans="2:13" x14ac:dyDescent="0.25">
      <c r="B28" s="5"/>
      <c r="C28" s="7"/>
      <c r="D28" s="5"/>
      <c r="E28" s="5"/>
      <c r="F28" s="5"/>
      <c r="G28" s="5"/>
      <c r="L28" s="13">
        <v>43551</v>
      </c>
      <c r="M28">
        <v>4.5</v>
      </c>
    </row>
    <row r="29" spans="2:13" x14ac:dyDescent="0.25">
      <c r="B29" s="5"/>
      <c r="C29" s="7"/>
      <c r="D29" s="5"/>
      <c r="E29" s="5"/>
      <c r="F29" s="5"/>
      <c r="G29" s="5"/>
      <c r="L29" s="13">
        <v>43552</v>
      </c>
      <c r="M29">
        <v>4.5</v>
      </c>
    </row>
    <row r="30" spans="2:13" x14ac:dyDescent="0.25">
      <c r="B30" s="5"/>
      <c r="C30" s="7"/>
      <c r="D30" s="5"/>
      <c r="E30" s="5"/>
      <c r="F30" s="5"/>
      <c r="G30" s="5"/>
      <c r="L30" s="13">
        <v>43553</v>
      </c>
      <c r="M30">
        <v>4.5</v>
      </c>
    </row>
    <row r="31" spans="2:13" x14ac:dyDescent="0.25">
      <c r="B31" s="5"/>
      <c r="C31" s="7"/>
      <c r="D31" s="5"/>
      <c r="E31" s="5"/>
      <c r="F31" s="5"/>
      <c r="G31" s="5"/>
      <c r="L31" s="13">
        <v>43554</v>
      </c>
      <c r="M31">
        <v>4.5</v>
      </c>
    </row>
    <row r="32" spans="2:13" x14ac:dyDescent="0.25">
      <c r="B32" s="5"/>
      <c r="C32" s="7"/>
      <c r="D32" s="5"/>
      <c r="E32" s="5"/>
      <c r="F32" s="5"/>
      <c r="G32" s="5"/>
      <c r="L32" s="13">
        <v>43555</v>
      </c>
      <c r="M32">
        <v>4.5</v>
      </c>
    </row>
    <row r="33" spans="2:13" x14ac:dyDescent="0.25">
      <c r="B33" s="5"/>
      <c r="C33" s="7"/>
      <c r="D33" s="5"/>
      <c r="E33" s="5"/>
      <c r="F33" s="5"/>
      <c r="G33" s="5"/>
      <c r="M33">
        <f>SUM(M2:M32)</f>
        <v>139.5</v>
      </c>
    </row>
    <row r="34" spans="2:13" x14ac:dyDescent="0.25">
      <c r="B34" s="11"/>
      <c r="C34" s="7"/>
      <c r="D34" s="7"/>
      <c r="E34" s="5"/>
      <c r="F34" s="5"/>
      <c r="G34" s="5"/>
    </row>
    <row r="35" spans="2:13" x14ac:dyDescent="0.25">
      <c r="B35" s="5"/>
      <c r="C35" s="7"/>
      <c r="D35" s="7"/>
      <c r="E35" s="5"/>
      <c r="F35" s="5"/>
      <c r="G35" s="5"/>
    </row>
    <row r="36" spans="2:13" x14ac:dyDescent="0.25">
      <c r="B36" s="5"/>
      <c r="C36" s="7"/>
      <c r="D36" s="5"/>
      <c r="E36" s="5"/>
      <c r="F36" s="5"/>
      <c r="G36" s="5"/>
    </row>
    <row r="37" spans="2:13" x14ac:dyDescent="0.25">
      <c r="B37" s="5"/>
      <c r="C37" s="7"/>
      <c r="D37" s="5"/>
      <c r="E37" s="5"/>
      <c r="F37" s="5"/>
      <c r="G37" s="5"/>
    </row>
    <row r="38" spans="2:13" x14ac:dyDescent="0.25">
      <c r="B38" s="5"/>
      <c r="C38" s="7"/>
      <c r="D38" s="5"/>
      <c r="E38" s="5"/>
      <c r="F38" s="5"/>
      <c r="G38" s="5"/>
    </row>
    <row r="39" spans="2:13" x14ac:dyDescent="0.25">
      <c r="B39" s="5"/>
      <c r="C39" s="7"/>
      <c r="D39" s="5"/>
      <c r="E39" s="5"/>
      <c r="F39" s="5"/>
      <c r="G39" s="5"/>
    </row>
    <row r="40" spans="2:13" x14ac:dyDescent="0.25">
      <c r="B40" s="5"/>
      <c r="C40" s="7"/>
      <c r="D40" s="5"/>
      <c r="E40" s="5"/>
      <c r="F40" s="5"/>
      <c r="G40" s="5"/>
    </row>
    <row r="41" spans="2:13" x14ac:dyDescent="0.25">
      <c r="B41" s="5"/>
      <c r="C41" s="7"/>
      <c r="D41" s="5"/>
      <c r="E41" s="5"/>
      <c r="F41" s="5"/>
      <c r="G41" s="5"/>
    </row>
    <row r="42" spans="2:13" x14ac:dyDescent="0.25">
      <c r="B42" s="5"/>
      <c r="C42" s="7"/>
      <c r="D42" s="5"/>
      <c r="E42" s="5"/>
      <c r="F42" s="5"/>
      <c r="G42" s="5"/>
    </row>
    <row r="43" spans="2:13" x14ac:dyDescent="0.25">
      <c r="B43" s="5"/>
      <c r="C43" s="7"/>
      <c r="D43" s="5"/>
      <c r="E43" s="5"/>
      <c r="F43" s="5"/>
      <c r="G43" s="5"/>
    </row>
    <row r="44" spans="2:13" x14ac:dyDescent="0.25">
      <c r="B44" s="5"/>
      <c r="C44" s="7"/>
      <c r="D44" s="5"/>
      <c r="E44" s="5"/>
      <c r="F44" s="5"/>
      <c r="G44" s="5"/>
    </row>
    <row r="45" spans="2:13" x14ac:dyDescent="0.25">
      <c r="B45" s="5"/>
      <c r="C45" s="7"/>
      <c r="D45" s="5"/>
      <c r="E45" s="5"/>
      <c r="F45" s="5"/>
      <c r="G45" s="5"/>
    </row>
    <row r="46" spans="2:13" x14ac:dyDescent="0.25">
      <c r="B46" s="5"/>
      <c r="C46" s="7"/>
      <c r="D46" s="5"/>
      <c r="E46" s="5"/>
      <c r="F46" s="5"/>
      <c r="G46" s="5"/>
    </row>
    <row r="47" spans="2:13" x14ac:dyDescent="0.25">
      <c r="B47" s="5"/>
      <c r="C47" s="7"/>
      <c r="D47" s="5"/>
      <c r="E47" s="5"/>
      <c r="F47" s="5"/>
      <c r="G47" s="5"/>
    </row>
    <row r="48" spans="2:13" x14ac:dyDescent="0.25">
      <c r="B48" s="5"/>
      <c r="C48" s="7"/>
      <c r="D48" s="5"/>
      <c r="E48" s="5"/>
      <c r="F48" s="5"/>
      <c r="G48" s="5"/>
    </row>
    <row r="49" spans="2:7" x14ac:dyDescent="0.25">
      <c r="B49" s="5"/>
      <c r="C49" s="7"/>
      <c r="D49" s="5"/>
      <c r="E49" s="5"/>
      <c r="F49" s="5"/>
      <c r="G49" s="5"/>
    </row>
    <row r="50" spans="2:7" x14ac:dyDescent="0.25">
      <c r="B50" s="5"/>
      <c r="C50" s="7"/>
      <c r="D50" s="5"/>
      <c r="E50" s="5"/>
      <c r="F50" s="5"/>
      <c r="G50" s="5"/>
    </row>
    <row r="51" spans="2:7" x14ac:dyDescent="0.25">
      <c r="B51" s="5"/>
      <c r="C51" s="7"/>
      <c r="D51" s="5"/>
      <c r="E51" s="5"/>
      <c r="F51" s="5"/>
      <c r="G51" s="5"/>
    </row>
    <row r="52" spans="2:7" x14ac:dyDescent="0.25">
      <c r="B52" s="5"/>
      <c r="C52" s="7"/>
      <c r="D52" s="5"/>
      <c r="E52" s="5"/>
      <c r="F52" s="5"/>
      <c r="G52" s="5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300-000000000000}">
          <x14:formula1>
            <xm:f>'2022'!$B$3:$B$19</xm:f>
          </x14:formula1>
          <xm:sqref>A2:A52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M63"/>
  <sheetViews>
    <sheetView workbookViewId="0">
      <selection activeCell="B11" sqref="B11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8" bestFit="1" customWidth="1"/>
    <col min="5" max="5" width="9.42578125" bestFit="1" customWidth="1"/>
    <col min="6" max="6" width="9.85546875" bestFit="1" customWidth="1"/>
    <col min="7" max="7" width="20" bestFit="1" customWidth="1"/>
    <col min="8" max="8" width="1.42578125" customWidth="1"/>
    <col min="9" max="9" width="13.85546875" bestFit="1" customWidth="1"/>
    <col min="10" max="10" width="10.85546875" bestFit="1" customWidth="1"/>
    <col min="12" max="12" width="10.7109375" bestFit="1" customWidth="1"/>
  </cols>
  <sheetData>
    <row r="1" spans="1:13" s="9" customFormat="1" x14ac:dyDescent="0.25">
      <c r="A1" s="9" t="s">
        <v>0</v>
      </c>
      <c r="B1" s="9" t="s">
        <v>23</v>
      </c>
      <c r="C1" s="10" t="s">
        <v>24</v>
      </c>
      <c r="D1" s="9" t="s">
        <v>36</v>
      </c>
      <c r="E1" s="9" t="s">
        <v>35</v>
      </c>
      <c r="F1" s="9" t="s">
        <v>34</v>
      </c>
      <c r="G1" s="9" t="s">
        <v>33</v>
      </c>
      <c r="I1" s="9" t="s">
        <v>0</v>
      </c>
      <c r="J1" s="9" t="s">
        <v>18</v>
      </c>
    </row>
    <row r="2" spans="1:13" x14ac:dyDescent="0.25">
      <c r="B2" s="5"/>
      <c r="C2" s="7"/>
      <c r="D2" s="5"/>
      <c r="E2" s="5"/>
      <c r="F2" s="5"/>
      <c r="G2" s="5"/>
      <c r="I2" t="s">
        <v>1</v>
      </c>
      <c r="J2" s="5">
        <f>SUMIF(tblJaneiro121416[Categoria],Tabela3131517[[#This Row],[Categoria]],tblJaneiro121416[Valor])</f>
        <v>0</v>
      </c>
      <c r="L2" s="13">
        <v>43556</v>
      </c>
      <c r="M2">
        <v>4.5</v>
      </c>
    </row>
    <row r="3" spans="1:13" x14ac:dyDescent="0.25">
      <c r="B3" s="5"/>
      <c r="C3" s="7"/>
      <c r="D3" s="5"/>
      <c r="E3" s="5"/>
      <c r="F3" s="5"/>
      <c r="G3" s="5"/>
      <c r="I3" t="s">
        <v>2</v>
      </c>
      <c r="J3" s="5">
        <f>SUMIF(tblJaneiro121416[Categoria],Tabela3131517[[#This Row],[Categoria]],tblJaneiro121416[Valor])</f>
        <v>0</v>
      </c>
      <c r="L3" s="13">
        <v>43557</v>
      </c>
      <c r="M3">
        <v>4.5</v>
      </c>
    </row>
    <row r="4" spans="1:13" x14ac:dyDescent="0.25">
      <c r="B4" s="5"/>
      <c r="C4" s="7"/>
      <c r="D4" s="5"/>
      <c r="E4" s="5"/>
      <c r="F4" s="5"/>
      <c r="G4" s="5"/>
      <c r="I4" t="s">
        <v>25</v>
      </c>
      <c r="J4" s="5">
        <f>SUMIF(tblJaneiro121416[Categoria],Tabela3131517[[#This Row],[Categoria]],tblJaneiro121416[Valor])</f>
        <v>0</v>
      </c>
      <c r="L4" s="13">
        <v>43558</v>
      </c>
      <c r="M4">
        <v>4.5</v>
      </c>
    </row>
    <row r="5" spans="1:13" x14ac:dyDescent="0.25">
      <c r="B5" s="5"/>
      <c r="C5" s="7"/>
      <c r="D5" s="5"/>
      <c r="E5" s="5"/>
      <c r="F5" s="5"/>
      <c r="G5" s="5"/>
      <c r="I5" t="s">
        <v>26</v>
      </c>
      <c r="J5" s="5">
        <f>SUMIF(tblJaneiro121416[Categoria],Tabela3131517[[#This Row],[Categoria]],tblJaneiro121416[Valor])</f>
        <v>0</v>
      </c>
      <c r="L5" s="13">
        <v>43559</v>
      </c>
      <c r="M5">
        <v>4.5</v>
      </c>
    </row>
    <row r="6" spans="1:13" x14ac:dyDescent="0.25">
      <c r="B6" s="5"/>
      <c r="C6" s="7"/>
      <c r="D6" s="5"/>
      <c r="E6" s="5"/>
      <c r="F6" s="5"/>
      <c r="G6" s="5"/>
      <c r="I6" t="s">
        <v>27</v>
      </c>
      <c r="J6" s="5">
        <f>SUMIF(tblJaneiro121416[Categoria],Tabela3131517[[#This Row],[Categoria]],tblJaneiro121416[Valor])</f>
        <v>0</v>
      </c>
      <c r="L6" s="13">
        <v>43560</v>
      </c>
      <c r="M6">
        <v>4.5</v>
      </c>
    </row>
    <row r="7" spans="1:13" x14ac:dyDescent="0.25">
      <c r="B7" s="5"/>
      <c r="C7" s="7"/>
      <c r="D7" s="5"/>
      <c r="E7" s="5"/>
      <c r="F7" s="5"/>
      <c r="G7" s="5"/>
      <c r="I7" t="s">
        <v>28</v>
      </c>
      <c r="J7" s="5">
        <f>SUMIF(tblJaneiro121416[Categoria],Tabela3131517[[#This Row],[Categoria]],tblJaneiro121416[Valor])</f>
        <v>0</v>
      </c>
      <c r="L7" s="13">
        <v>43561</v>
      </c>
      <c r="M7">
        <v>4.5</v>
      </c>
    </row>
    <row r="8" spans="1:13" x14ac:dyDescent="0.25">
      <c r="B8" s="5"/>
      <c r="C8" s="7"/>
      <c r="D8" s="5"/>
      <c r="E8" s="5"/>
      <c r="F8" s="5"/>
      <c r="G8" s="5"/>
      <c r="I8" t="s">
        <v>29</v>
      </c>
      <c r="J8" s="5">
        <f>SUMIF(tblJaneiro121416[Categoria],Tabela3131517[[#This Row],[Categoria]],tblJaneiro121416[Valor])</f>
        <v>0</v>
      </c>
      <c r="L8" s="13">
        <v>43562</v>
      </c>
      <c r="M8">
        <v>4.5</v>
      </c>
    </row>
    <row r="9" spans="1:13" x14ac:dyDescent="0.25">
      <c r="B9" s="5"/>
      <c r="C9" s="7"/>
      <c r="D9" s="5"/>
      <c r="E9" s="5"/>
      <c r="F9" s="5"/>
      <c r="G9" s="5"/>
      <c r="I9" t="s">
        <v>30</v>
      </c>
      <c r="J9" s="5">
        <f>SUMIF(tblJaneiro121416[Categoria],Tabela3131517[[#This Row],[Categoria]],tblJaneiro121416[Valor])</f>
        <v>0</v>
      </c>
      <c r="L9" s="13">
        <v>43563</v>
      </c>
      <c r="M9">
        <v>4.5</v>
      </c>
    </row>
    <row r="10" spans="1:13" x14ac:dyDescent="0.25">
      <c r="B10" s="5"/>
      <c r="C10" s="7"/>
      <c r="D10" s="5"/>
      <c r="E10" s="5"/>
      <c r="F10" s="5"/>
      <c r="G10" s="5"/>
      <c r="I10" t="s">
        <v>19</v>
      </c>
      <c r="J10" s="5">
        <f>SUMIF(tblJaneiro121416[Categoria],Tabela3131517[[#This Row],[Categoria]],tblJaneiro121416[Valor])</f>
        <v>0</v>
      </c>
      <c r="L10" s="13">
        <v>43564</v>
      </c>
      <c r="M10">
        <v>4.5</v>
      </c>
    </row>
    <row r="11" spans="1:13" x14ac:dyDescent="0.25">
      <c r="B11" s="5"/>
      <c r="C11" s="7"/>
      <c r="D11" s="5"/>
      <c r="E11" s="5"/>
      <c r="F11" s="5"/>
      <c r="G11" s="5"/>
      <c r="I11" t="s">
        <v>32</v>
      </c>
      <c r="J11" s="5">
        <f>SUMIF(tblJaneiro121416[Categoria],Tabela3131517[[#This Row],[Categoria]],tblJaneiro121416[Valor])</f>
        <v>0</v>
      </c>
      <c r="L11" s="13">
        <v>43565</v>
      </c>
      <c r="M11">
        <v>4.5</v>
      </c>
    </row>
    <row r="12" spans="1:13" x14ac:dyDescent="0.25">
      <c r="B12" s="5"/>
      <c r="C12" s="7"/>
      <c r="D12" s="5"/>
      <c r="E12" s="5"/>
      <c r="F12" s="5"/>
      <c r="G12" s="5"/>
      <c r="I12" t="s">
        <v>31</v>
      </c>
      <c r="J12" s="5">
        <f>SUMIF(tblJaneiro121416[Categoria],Tabela3131517[[#This Row],[Categoria]],tblJaneiro121416[Valor])</f>
        <v>0</v>
      </c>
      <c r="L12" s="13">
        <v>43566</v>
      </c>
      <c r="M12">
        <v>4.5</v>
      </c>
    </row>
    <row r="13" spans="1:13" x14ac:dyDescent="0.25">
      <c r="B13" s="5"/>
      <c r="C13" s="7"/>
      <c r="D13" s="5"/>
      <c r="E13" s="5"/>
      <c r="F13" s="5"/>
      <c r="G13" s="5"/>
      <c r="I13" t="s">
        <v>37</v>
      </c>
      <c r="J13" s="5">
        <f>SUMIF(tblJaneiro121416[Categoria],Tabela3131517[[#This Row],[Categoria]],tblJaneiro121416[Valor])</f>
        <v>0</v>
      </c>
      <c r="L13" s="13">
        <v>43567</v>
      </c>
      <c r="M13">
        <v>4.5</v>
      </c>
    </row>
    <row r="14" spans="1:13" x14ac:dyDescent="0.25">
      <c r="B14" s="5"/>
      <c r="C14" s="7"/>
      <c r="D14" s="5"/>
      <c r="E14" s="5"/>
      <c r="F14" s="5"/>
      <c r="G14" s="5"/>
      <c r="I14" t="s">
        <v>38</v>
      </c>
      <c r="J14" s="5">
        <f>SUMIF(tblJaneiro121416[Categoria],Tabela3131517[[#This Row],[Categoria]],tblJaneiro121416[Valor])</f>
        <v>0</v>
      </c>
      <c r="L14" s="13">
        <v>43568</v>
      </c>
      <c r="M14">
        <v>4.5</v>
      </c>
    </row>
    <row r="15" spans="1:13" x14ac:dyDescent="0.25">
      <c r="B15" s="5"/>
      <c r="C15" s="7"/>
      <c r="D15" s="5"/>
      <c r="E15" s="5"/>
      <c r="F15" s="5"/>
      <c r="G15" s="5"/>
      <c r="I15" t="s">
        <v>39</v>
      </c>
      <c r="J15" s="5">
        <f>SUMIF(tblJaneiro121416[Categoria],Tabela3131517[[#This Row],[Categoria]],tblJaneiro121416[Valor])</f>
        <v>0</v>
      </c>
      <c r="L15" s="13">
        <v>43569</v>
      </c>
      <c r="M15">
        <v>4.5</v>
      </c>
    </row>
    <row r="16" spans="1:13" x14ac:dyDescent="0.25">
      <c r="B16" s="5"/>
      <c r="C16" s="7"/>
      <c r="D16" s="5"/>
      <c r="E16" s="5"/>
      <c r="F16" s="5"/>
      <c r="G16" s="5"/>
      <c r="I16" t="s">
        <v>40</v>
      </c>
      <c r="J16" s="5">
        <f>SUMIF(tblJaneiro121416[Categoria],Tabela3131517[[#This Row],[Categoria]],tblJaneiro121416[Valor])</f>
        <v>0</v>
      </c>
      <c r="L16" s="13">
        <v>43570</v>
      </c>
      <c r="M16">
        <v>4.5</v>
      </c>
    </row>
    <row r="17" spans="2:13" x14ac:dyDescent="0.25">
      <c r="B17" s="5"/>
      <c r="C17" s="7"/>
      <c r="D17" s="5"/>
      <c r="E17" s="5"/>
      <c r="F17" s="5"/>
      <c r="G17" s="5"/>
      <c r="I17" t="s">
        <v>41</v>
      </c>
      <c r="J17" s="5">
        <f>SUMIF(tblJaneiro121416[Categoria],Tabela3131517[[#This Row],[Categoria]],tblJaneiro121416[Valor])</f>
        <v>0</v>
      </c>
      <c r="L17" s="13">
        <v>43571</v>
      </c>
      <c r="M17">
        <v>4.5</v>
      </c>
    </row>
    <row r="18" spans="2:13" x14ac:dyDescent="0.25">
      <c r="B18" s="5"/>
      <c r="C18" s="7"/>
      <c r="D18" s="5"/>
      <c r="E18" s="5"/>
      <c r="F18" s="5"/>
      <c r="G18" s="5"/>
      <c r="I18" t="s">
        <v>42</v>
      </c>
      <c r="J18" s="5">
        <f>SUMIF(tblJaneiro121416[Categoria],Tabela3131517[[#This Row],[Categoria]],tblJaneiro121416[Valor])</f>
        <v>0</v>
      </c>
      <c r="L18" s="13">
        <v>43572</v>
      </c>
      <c r="M18">
        <v>4.5</v>
      </c>
    </row>
    <row r="19" spans="2:13" x14ac:dyDescent="0.25">
      <c r="B19" s="5"/>
      <c r="C19" s="7"/>
      <c r="D19" s="5"/>
      <c r="E19" s="5"/>
      <c r="F19" s="5"/>
      <c r="G19" s="5"/>
      <c r="I19" t="s">
        <v>18</v>
      </c>
      <c r="J19" s="12">
        <f>SUBTOTAL(109,Tabela3131517[Total])</f>
        <v>0</v>
      </c>
      <c r="L19" s="13">
        <v>43573</v>
      </c>
      <c r="M19">
        <v>4.5</v>
      </c>
    </row>
    <row r="20" spans="2:13" x14ac:dyDescent="0.25">
      <c r="B20" s="5"/>
      <c r="C20" s="7"/>
      <c r="D20" s="5"/>
      <c r="E20" s="5"/>
      <c r="F20" s="5"/>
      <c r="G20" s="5"/>
      <c r="L20" s="13">
        <v>43574</v>
      </c>
      <c r="M20">
        <v>4.5</v>
      </c>
    </row>
    <row r="21" spans="2:13" x14ac:dyDescent="0.25">
      <c r="B21" s="5"/>
      <c r="C21" s="7"/>
      <c r="D21" s="5"/>
      <c r="E21" s="5"/>
      <c r="F21" s="5"/>
      <c r="G21" s="5"/>
      <c r="L21" s="13">
        <v>43575</v>
      </c>
      <c r="M21">
        <v>4.5</v>
      </c>
    </row>
    <row r="22" spans="2:13" x14ac:dyDescent="0.25">
      <c r="B22" s="5"/>
      <c r="C22" s="7"/>
      <c r="D22" s="5"/>
      <c r="E22" s="5"/>
      <c r="F22" s="5"/>
      <c r="G22" s="5"/>
      <c r="L22" s="13">
        <v>43576</v>
      </c>
      <c r="M22">
        <v>4.5</v>
      </c>
    </row>
    <row r="23" spans="2:13" x14ac:dyDescent="0.25">
      <c r="B23" s="5"/>
      <c r="C23" s="7"/>
      <c r="D23" s="5"/>
      <c r="E23" s="5"/>
      <c r="F23" s="5"/>
      <c r="G23" s="5"/>
      <c r="L23" s="13">
        <v>43577</v>
      </c>
      <c r="M23">
        <v>4.5</v>
      </c>
    </row>
    <row r="24" spans="2:13" x14ac:dyDescent="0.25">
      <c r="B24" s="5"/>
      <c r="C24" s="7"/>
      <c r="D24" s="5"/>
      <c r="E24" s="5"/>
      <c r="F24" s="5"/>
      <c r="G24" s="5"/>
      <c r="L24" s="13">
        <v>43578</v>
      </c>
      <c r="M24">
        <v>4.5</v>
      </c>
    </row>
    <row r="25" spans="2:13" x14ac:dyDescent="0.25">
      <c r="B25" s="5"/>
      <c r="C25" s="7"/>
      <c r="D25" s="5"/>
      <c r="E25" s="5"/>
      <c r="F25" s="5"/>
      <c r="G25" s="5"/>
      <c r="L25" s="13">
        <v>43579</v>
      </c>
      <c r="M25">
        <v>4.5</v>
      </c>
    </row>
    <row r="26" spans="2:13" x14ac:dyDescent="0.25">
      <c r="B26" s="5"/>
      <c r="C26" s="7"/>
      <c r="D26" s="5"/>
      <c r="E26" s="5"/>
      <c r="F26" s="5"/>
      <c r="G26" s="5"/>
      <c r="L26" s="13">
        <v>43580</v>
      </c>
      <c r="M26">
        <v>4.5</v>
      </c>
    </row>
    <row r="27" spans="2:13" x14ac:dyDescent="0.25">
      <c r="B27" s="5"/>
      <c r="C27" s="7"/>
      <c r="D27" s="5"/>
      <c r="E27" s="5"/>
      <c r="F27" s="5"/>
      <c r="G27" s="5"/>
      <c r="L27" s="13">
        <v>43581</v>
      </c>
      <c r="M27">
        <v>4.5</v>
      </c>
    </row>
    <row r="28" spans="2:13" x14ac:dyDescent="0.25">
      <c r="B28" s="5"/>
      <c r="C28" s="7"/>
      <c r="D28" s="5"/>
      <c r="E28" s="5"/>
      <c r="F28" s="5"/>
      <c r="G28" s="5"/>
      <c r="L28" s="13">
        <v>43582</v>
      </c>
      <c r="M28">
        <v>4.5</v>
      </c>
    </row>
    <row r="29" spans="2:13" x14ac:dyDescent="0.25">
      <c r="B29" s="5"/>
      <c r="C29" s="7"/>
      <c r="D29" s="5"/>
      <c r="E29" s="5"/>
      <c r="F29" s="5"/>
      <c r="G29" s="5"/>
      <c r="L29" s="13">
        <v>43583</v>
      </c>
      <c r="M29">
        <v>4.5</v>
      </c>
    </row>
    <row r="30" spans="2:13" x14ac:dyDescent="0.25">
      <c r="B30" s="5"/>
      <c r="C30" s="7"/>
      <c r="D30" s="5"/>
      <c r="E30" s="5"/>
      <c r="F30" s="5"/>
      <c r="G30" s="5"/>
      <c r="L30" s="13">
        <v>43584</v>
      </c>
      <c r="M30">
        <v>4.5</v>
      </c>
    </row>
    <row r="31" spans="2:13" x14ac:dyDescent="0.25">
      <c r="B31" s="5"/>
      <c r="C31" s="7"/>
      <c r="D31" s="5"/>
      <c r="E31" s="5"/>
      <c r="F31" s="5"/>
      <c r="G31" s="5"/>
      <c r="L31" s="13">
        <v>43585</v>
      </c>
      <c r="M31">
        <v>4.5</v>
      </c>
    </row>
    <row r="32" spans="2:13" x14ac:dyDescent="0.25">
      <c r="B32" s="5"/>
      <c r="C32" s="7"/>
      <c r="D32" s="5"/>
      <c r="E32" s="5"/>
      <c r="F32" s="5"/>
      <c r="G32" s="5"/>
      <c r="M32">
        <f>SUM(M2:M31)</f>
        <v>135</v>
      </c>
    </row>
    <row r="33" spans="2:7" x14ac:dyDescent="0.25">
      <c r="B33" s="5"/>
      <c r="C33" s="7"/>
      <c r="D33" s="5"/>
      <c r="E33" s="5"/>
      <c r="F33" s="5"/>
      <c r="G33" s="5"/>
    </row>
    <row r="34" spans="2:7" x14ac:dyDescent="0.25">
      <c r="B34" s="11"/>
      <c r="C34" s="7"/>
      <c r="D34" s="7"/>
      <c r="E34" s="5"/>
      <c r="F34" s="5"/>
      <c r="G34" s="5"/>
    </row>
    <row r="35" spans="2:7" x14ac:dyDescent="0.25">
      <c r="B35" s="5"/>
      <c r="C35" s="7"/>
      <c r="D35" s="7"/>
      <c r="E35" s="5"/>
      <c r="F35" s="5"/>
      <c r="G35" s="5"/>
    </row>
    <row r="36" spans="2:7" x14ac:dyDescent="0.25">
      <c r="B36" s="5"/>
      <c r="C36" s="7"/>
      <c r="D36" s="5"/>
      <c r="E36" s="5"/>
      <c r="F36" s="5"/>
      <c r="G36" s="5"/>
    </row>
    <row r="37" spans="2:7" x14ac:dyDescent="0.25">
      <c r="B37" s="5"/>
      <c r="C37" s="7"/>
      <c r="D37" s="5"/>
      <c r="E37" s="5"/>
      <c r="F37" s="5"/>
      <c r="G37" s="5"/>
    </row>
    <row r="38" spans="2:7" x14ac:dyDescent="0.25">
      <c r="B38" s="5"/>
      <c r="C38" s="7"/>
      <c r="D38" s="5"/>
      <c r="E38" s="5"/>
      <c r="F38" s="5"/>
      <c r="G38" s="5"/>
    </row>
    <row r="39" spans="2:7" x14ac:dyDescent="0.25">
      <c r="B39" s="5"/>
      <c r="C39" s="7"/>
      <c r="D39" s="5"/>
      <c r="E39" s="5"/>
      <c r="F39" s="5"/>
      <c r="G39" s="5"/>
    </row>
    <row r="40" spans="2:7" x14ac:dyDescent="0.25">
      <c r="B40" s="5"/>
      <c r="C40" s="7"/>
      <c r="D40" s="5"/>
      <c r="E40" s="5"/>
      <c r="F40" s="5"/>
      <c r="G40" s="5"/>
    </row>
    <row r="41" spans="2:7" x14ac:dyDescent="0.25">
      <c r="B41" s="5"/>
      <c r="C41" s="7"/>
      <c r="D41" s="5"/>
      <c r="E41" s="5"/>
      <c r="F41" s="5"/>
      <c r="G41" s="5"/>
    </row>
    <row r="42" spans="2:7" x14ac:dyDescent="0.25">
      <c r="B42" s="5"/>
      <c r="C42" s="7"/>
      <c r="D42" s="5"/>
      <c r="E42" s="5"/>
      <c r="F42" s="5"/>
      <c r="G42" s="5"/>
    </row>
    <row r="43" spans="2:7" x14ac:dyDescent="0.25">
      <c r="B43" s="5"/>
      <c r="C43" s="7"/>
      <c r="D43" s="5"/>
      <c r="E43" s="5"/>
      <c r="F43" s="5"/>
      <c r="G43" s="5"/>
    </row>
    <row r="44" spans="2:7" x14ac:dyDescent="0.25">
      <c r="B44" s="5"/>
      <c r="C44" s="7"/>
      <c r="D44" s="5"/>
      <c r="E44" s="5"/>
      <c r="F44" s="5"/>
      <c r="G44" s="5"/>
    </row>
    <row r="45" spans="2:7" x14ac:dyDescent="0.25">
      <c r="B45" s="5"/>
      <c r="C45" s="7"/>
      <c r="D45" s="5"/>
      <c r="E45" s="5"/>
      <c r="F45" s="5"/>
      <c r="G45" s="5"/>
    </row>
    <row r="46" spans="2:7" x14ac:dyDescent="0.25">
      <c r="B46" s="5"/>
      <c r="C46" s="7"/>
      <c r="D46" s="5"/>
      <c r="E46" s="5"/>
      <c r="F46" s="5"/>
      <c r="G46" s="5"/>
    </row>
    <row r="47" spans="2:7" x14ac:dyDescent="0.25">
      <c r="B47" s="5"/>
      <c r="C47" s="7"/>
      <c r="D47" s="5"/>
      <c r="E47" s="5"/>
      <c r="F47" s="5"/>
      <c r="G47" s="5"/>
    </row>
    <row r="48" spans="2:7" x14ac:dyDescent="0.25">
      <c r="B48" s="5"/>
      <c r="C48" s="7"/>
      <c r="D48" s="5"/>
      <c r="E48" s="5"/>
      <c r="F48" s="5"/>
      <c r="G48" s="5"/>
    </row>
    <row r="49" spans="2:7" x14ac:dyDescent="0.25">
      <c r="B49" s="5"/>
      <c r="C49" s="7"/>
      <c r="D49" s="5"/>
      <c r="E49" s="5"/>
      <c r="F49" s="5"/>
      <c r="G49" s="5"/>
    </row>
    <row r="50" spans="2:7" x14ac:dyDescent="0.25">
      <c r="B50" s="5"/>
      <c r="C50" s="7"/>
      <c r="D50" s="5"/>
      <c r="E50" s="5"/>
      <c r="F50" s="5"/>
      <c r="G50" s="5"/>
    </row>
    <row r="51" spans="2:7" x14ac:dyDescent="0.25">
      <c r="B51" s="5"/>
      <c r="C51" s="7"/>
      <c r="D51" s="5"/>
      <c r="E51" s="5"/>
      <c r="F51" s="5"/>
      <c r="G51" s="5"/>
    </row>
    <row r="52" spans="2:7" x14ac:dyDescent="0.25">
      <c r="B52" s="5"/>
      <c r="C52" s="7"/>
      <c r="D52" s="5"/>
      <c r="E52" s="5"/>
      <c r="F52" s="5"/>
      <c r="G52" s="5"/>
    </row>
    <row r="53" spans="2:7" x14ac:dyDescent="0.25">
      <c r="B53" s="5"/>
      <c r="C53" s="7"/>
      <c r="D53" s="5"/>
      <c r="E53" s="5"/>
      <c r="F53" s="5"/>
      <c r="G53" s="5"/>
    </row>
    <row r="54" spans="2:7" x14ac:dyDescent="0.25">
      <c r="B54" s="5"/>
      <c r="C54" s="7"/>
      <c r="D54" s="5"/>
      <c r="E54" s="5"/>
      <c r="F54" s="5"/>
      <c r="G54" s="5"/>
    </row>
    <row r="55" spans="2:7" x14ac:dyDescent="0.25">
      <c r="B55" s="5"/>
      <c r="C55" s="7"/>
      <c r="D55" s="5"/>
      <c r="E55" s="5"/>
      <c r="F55" s="5"/>
      <c r="G55" s="5"/>
    </row>
    <row r="56" spans="2:7" x14ac:dyDescent="0.25">
      <c r="B56" s="5"/>
      <c r="C56" s="7"/>
      <c r="D56" s="5"/>
      <c r="E56" s="5"/>
      <c r="F56" s="5"/>
      <c r="G56" s="5"/>
    </row>
    <row r="57" spans="2:7" x14ac:dyDescent="0.25">
      <c r="B57" s="5"/>
      <c r="C57" s="7"/>
      <c r="D57" s="5"/>
      <c r="E57" s="5"/>
      <c r="F57" s="5"/>
      <c r="G57" s="5"/>
    </row>
    <row r="58" spans="2:7" x14ac:dyDescent="0.25">
      <c r="B58" s="5"/>
      <c r="C58" s="7"/>
      <c r="D58" s="5"/>
      <c r="E58" s="5"/>
      <c r="F58" s="5"/>
      <c r="G58" s="5"/>
    </row>
    <row r="59" spans="2:7" x14ac:dyDescent="0.25">
      <c r="B59" s="5"/>
      <c r="C59" s="7"/>
      <c r="D59" s="5"/>
      <c r="E59" s="5"/>
      <c r="F59" s="5"/>
      <c r="G59" s="5"/>
    </row>
    <row r="60" spans="2:7" x14ac:dyDescent="0.25">
      <c r="B60" s="5"/>
      <c r="C60" s="7"/>
      <c r="D60" s="5"/>
      <c r="E60" s="5"/>
      <c r="F60" s="5"/>
      <c r="G60" s="5"/>
    </row>
    <row r="61" spans="2:7" x14ac:dyDescent="0.25">
      <c r="B61" s="5"/>
      <c r="C61" s="7"/>
      <c r="D61" s="5"/>
      <c r="E61" s="5"/>
      <c r="F61" s="5"/>
      <c r="G61" s="5"/>
    </row>
    <row r="62" spans="2:7" x14ac:dyDescent="0.25">
      <c r="B62" s="5"/>
      <c r="C62" s="7"/>
      <c r="D62" s="5"/>
      <c r="E62" s="5"/>
      <c r="F62" s="5"/>
      <c r="G62" s="5"/>
    </row>
    <row r="63" spans="2:7" x14ac:dyDescent="0.25">
      <c r="B63" s="5"/>
      <c r="C63" s="7"/>
      <c r="D63" s="5"/>
      <c r="E63" s="5"/>
      <c r="F63" s="5"/>
      <c r="G63" s="5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400-000000000000}">
          <x14:formula1>
            <xm:f>'2022'!$B$3:$B$19</xm:f>
          </x14:formula1>
          <xm:sqref>A2:A63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M80"/>
  <sheetViews>
    <sheetView workbookViewId="0">
      <selection activeCell="C11" sqref="C11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8.140625" bestFit="1" customWidth="1"/>
    <col min="5" max="5" width="9.42578125" bestFit="1" customWidth="1"/>
    <col min="6" max="6" width="9.85546875" bestFit="1" customWidth="1"/>
    <col min="7" max="7" width="21.42578125" bestFit="1" customWidth="1"/>
    <col min="8" max="8" width="1.42578125" customWidth="1"/>
    <col min="9" max="9" width="13.85546875" bestFit="1" customWidth="1"/>
    <col min="10" max="10" width="10.85546875" bestFit="1" customWidth="1"/>
    <col min="12" max="12" width="10.7109375" bestFit="1" customWidth="1"/>
  </cols>
  <sheetData>
    <row r="1" spans="1:13" s="9" customFormat="1" x14ac:dyDescent="0.25">
      <c r="A1" s="9" t="s">
        <v>0</v>
      </c>
      <c r="B1" s="9" t="s">
        <v>23</v>
      </c>
      <c r="C1" s="10" t="s">
        <v>24</v>
      </c>
      <c r="D1" s="9" t="s">
        <v>36</v>
      </c>
      <c r="E1" s="9" t="s">
        <v>35</v>
      </c>
      <c r="F1" s="9" t="s">
        <v>34</v>
      </c>
      <c r="G1" s="9" t="s">
        <v>33</v>
      </c>
      <c r="I1" s="9" t="s">
        <v>0</v>
      </c>
      <c r="J1" s="9" t="s">
        <v>18</v>
      </c>
    </row>
    <row r="2" spans="1:13" x14ac:dyDescent="0.25">
      <c r="B2" s="5"/>
      <c r="C2" s="7"/>
      <c r="D2" s="5"/>
      <c r="E2" s="5"/>
      <c r="F2" s="5"/>
      <c r="G2" s="5"/>
      <c r="I2" t="s">
        <v>1</v>
      </c>
      <c r="J2" s="5">
        <f>SUMIF(tblJaneiro12141618[Categoria],Tabela313151719[[#This Row],[Categoria]],tblJaneiro12141618[Valor])</f>
        <v>0</v>
      </c>
      <c r="L2" s="13">
        <v>43586</v>
      </c>
      <c r="M2">
        <v>4.5</v>
      </c>
    </row>
    <row r="3" spans="1:13" x14ac:dyDescent="0.25">
      <c r="B3" s="5"/>
      <c r="C3" s="7"/>
      <c r="D3" s="5"/>
      <c r="E3" s="5"/>
      <c r="F3" s="5"/>
      <c r="G3" s="5"/>
      <c r="I3" t="s">
        <v>2</v>
      </c>
      <c r="J3" s="5">
        <f>SUMIF(tblJaneiro12141618[Categoria],Tabela313151719[[#This Row],[Categoria]],tblJaneiro12141618[Valor])</f>
        <v>0</v>
      </c>
      <c r="L3" s="13">
        <v>43587</v>
      </c>
      <c r="M3">
        <v>4.5</v>
      </c>
    </row>
    <row r="4" spans="1:13" x14ac:dyDescent="0.25">
      <c r="B4" s="5"/>
      <c r="C4" s="7"/>
      <c r="D4" s="5"/>
      <c r="E4" s="5"/>
      <c r="F4" s="5"/>
      <c r="G4" s="5"/>
      <c r="I4" t="s">
        <v>25</v>
      </c>
      <c r="J4" s="5">
        <f>SUMIF(tblJaneiro12141618[Categoria],Tabela313151719[[#This Row],[Categoria]],tblJaneiro12141618[Valor])</f>
        <v>0</v>
      </c>
      <c r="L4" s="13">
        <v>43588</v>
      </c>
      <c r="M4">
        <v>4.5</v>
      </c>
    </row>
    <row r="5" spans="1:13" x14ac:dyDescent="0.25">
      <c r="B5" s="5"/>
      <c r="C5" s="7"/>
      <c r="D5" s="5"/>
      <c r="E5" s="5"/>
      <c r="F5" s="5"/>
      <c r="G5" s="5"/>
      <c r="I5" t="s">
        <v>26</v>
      </c>
      <c r="J5" s="5">
        <f>SUMIF(tblJaneiro12141618[Categoria],Tabela313151719[[#This Row],[Categoria]],tblJaneiro12141618[Valor])</f>
        <v>0</v>
      </c>
      <c r="L5" s="13">
        <v>43589</v>
      </c>
      <c r="M5">
        <v>4.5</v>
      </c>
    </row>
    <row r="6" spans="1:13" x14ac:dyDescent="0.25">
      <c r="B6" s="5"/>
      <c r="C6" s="7"/>
      <c r="D6" s="5"/>
      <c r="E6" s="5"/>
      <c r="F6" s="5"/>
      <c r="G6" s="5"/>
      <c r="I6" t="s">
        <v>27</v>
      </c>
      <c r="J6" s="5">
        <f>SUMIF(tblJaneiro12141618[Categoria],Tabela313151719[[#This Row],[Categoria]],tblJaneiro12141618[Valor])</f>
        <v>0</v>
      </c>
      <c r="L6" s="13">
        <v>43590</v>
      </c>
      <c r="M6">
        <v>4.5</v>
      </c>
    </row>
    <row r="7" spans="1:13" x14ac:dyDescent="0.25">
      <c r="B7" s="5"/>
      <c r="C7" s="7"/>
      <c r="D7" s="5"/>
      <c r="E7" s="5"/>
      <c r="F7" s="5"/>
      <c r="G7" s="5"/>
      <c r="I7" t="s">
        <v>28</v>
      </c>
      <c r="J7" s="5">
        <f>SUMIF(tblJaneiro12141618[Categoria],Tabela313151719[[#This Row],[Categoria]],tblJaneiro12141618[Valor])</f>
        <v>0</v>
      </c>
      <c r="L7" s="13">
        <v>43591</v>
      </c>
      <c r="M7">
        <v>4.5</v>
      </c>
    </row>
    <row r="8" spans="1:13" x14ac:dyDescent="0.25">
      <c r="B8" s="5"/>
      <c r="C8" s="7"/>
      <c r="D8" s="5"/>
      <c r="E8" s="5"/>
      <c r="F8" s="5"/>
      <c r="G8" s="5"/>
      <c r="I8" t="s">
        <v>29</v>
      </c>
      <c r="J8" s="5">
        <f>SUMIF(tblJaneiro12141618[Categoria],Tabela313151719[[#This Row],[Categoria]],tblJaneiro12141618[Valor])</f>
        <v>0</v>
      </c>
      <c r="L8" s="13">
        <v>43592</v>
      </c>
      <c r="M8">
        <v>4.5</v>
      </c>
    </row>
    <row r="9" spans="1:13" x14ac:dyDescent="0.25">
      <c r="B9" s="5"/>
      <c r="C9" s="7"/>
      <c r="D9" s="5"/>
      <c r="E9" s="5"/>
      <c r="F9" s="5"/>
      <c r="G9" s="5"/>
      <c r="I9" t="s">
        <v>30</v>
      </c>
      <c r="J9" s="5">
        <f>SUMIF(tblJaneiro12141618[Categoria],Tabela313151719[[#This Row],[Categoria]],tblJaneiro12141618[Valor])</f>
        <v>0</v>
      </c>
      <c r="L9" s="13">
        <v>43593</v>
      </c>
      <c r="M9">
        <v>4.5</v>
      </c>
    </row>
    <row r="10" spans="1:13" x14ac:dyDescent="0.25">
      <c r="B10" s="5"/>
      <c r="C10" s="7"/>
      <c r="D10" s="5"/>
      <c r="E10" s="5"/>
      <c r="F10" s="5"/>
      <c r="G10" s="5"/>
      <c r="I10" t="s">
        <v>19</v>
      </c>
      <c r="J10" s="5">
        <f>SUMIF(tblJaneiro12141618[Categoria],Tabela313151719[[#This Row],[Categoria]],tblJaneiro12141618[Valor])</f>
        <v>0</v>
      </c>
      <c r="L10" s="13">
        <v>43594</v>
      </c>
      <c r="M10">
        <v>4.5</v>
      </c>
    </row>
    <row r="11" spans="1:13" x14ac:dyDescent="0.25">
      <c r="B11" s="5"/>
      <c r="C11" s="7"/>
      <c r="D11" s="5"/>
      <c r="E11" s="5"/>
      <c r="F11" s="5"/>
      <c r="G11" s="5"/>
      <c r="I11" t="s">
        <v>32</v>
      </c>
      <c r="J11" s="5">
        <f>SUMIF(tblJaneiro12141618[Categoria],Tabela313151719[[#This Row],[Categoria]],tblJaneiro12141618[Valor])</f>
        <v>0</v>
      </c>
      <c r="L11" s="13">
        <v>43595</v>
      </c>
      <c r="M11">
        <v>4.5</v>
      </c>
    </row>
    <row r="12" spans="1:13" x14ac:dyDescent="0.25">
      <c r="B12" s="5"/>
      <c r="C12" s="7"/>
      <c r="D12" s="5"/>
      <c r="E12" s="5"/>
      <c r="F12" s="5"/>
      <c r="G12" s="5"/>
      <c r="I12" t="s">
        <v>31</v>
      </c>
      <c r="J12" s="5">
        <f>SUMIF(tblJaneiro12141618[Categoria],Tabela313151719[[#This Row],[Categoria]],tblJaneiro12141618[Valor])</f>
        <v>0</v>
      </c>
      <c r="L12" s="13">
        <v>43596</v>
      </c>
      <c r="M12">
        <v>4.5</v>
      </c>
    </row>
    <row r="13" spans="1:13" x14ac:dyDescent="0.25">
      <c r="B13" s="5"/>
      <c r="C13" s="7"/>
      <c r="D13" s="5"/>
      <c r="E13" s="5"/>
      <c r="F13" s="5"/>
      <c r="G13" s="5"/>
      <c r="I13" t="s">
        <v>37</v>
      </c>
      <c r="J13" s="5">
        <f>SUMIF(tblJaneiro12141618[Categoria],Tabela313151719[[#This Row],[Categoria]],tblJaneiro12141618[Valor])</f>
        <v>0</v>
      </c>
      <c r="L13" s="13">
        <v>43597</v>
      </c>
      <c r="M13">
        <v>4.5</v>
      </c>
    </row>
    <row r="14" spans="1:13" x14ac:dyDescent="0.25">
      <c r="B14" s="5"/>
      <c r="C14" s="7"/>
      <c r="D14" s="5"/>
      <c r="E14" s="5"/>
      <c r="F14" s="5"/>
      <c r="G14" s="5"/>
      <c r="I14" t="s">
        <v>38</v>
      </c>
      <c r="J14" s="5">
        <f>SUMIF(tblJaneiro12141618[Categoria],Tabela313151719[[#This Row],[Categoria]],tblJaneiro12141618[Valor])</f>
        <v>0</v>
      </c>
      <c r="L14" s="13">
        <v>43598</v>
      </c>
      <c r="M14">
        <v>4.5</v>
      </c>
    </row>
    <row r="15" spans="1:13" x14ac:dyDescent="0.25">
      <c r="B15" s="5"/>
      <c r="C15" s="7"/>
      <c r="D15" s="5"/>
      <c r="E15" s="5"/>
      <c r="F15" s="5"/>
      <c r="G15" s="5"/>
      <c r="I15" t="s">
        <v>39</v>
      </c>
      <c r="J15" s="5">
        <f>SUMIF(tblJaneiro12141618[Categoria],Tabela313151719[[#This Row],[Categoria]],tblJaneiro12141618[Valor])</f>
        <v>0</v>
      </c>
      <c r="L15" s="13">
        <v>43599</v>
      </c>
      <c r="M15">
        <v>4.5</v>
      </c>
    </row>
    <row r="16" spans="1:13" x14ac:dyDescent="0.25">
      <c r="B16" s="5"/>
      <c r="C16" s="7"/>
      <c r="D16" s="5"/>
      <c r="E16" s="5"/>
      <c r="F16" s="5"/>
      <c r="G16" s="5"/>
      <c r="I16" t="s">
        <v>40</v>
      </c>
      <c r="J16" s="5">
        <f>SUMIF(tblJaneiro12141618[Categoria],Tabela313151719[[#This Row],[Categoria]],tblJaneiro12141618[Valor])</f>
        <v>0</v>
      </c>
      <c r="L16" s="13">
        <v>43600</v>
      </c>
      <c r="M16">
        <v>4.5</v>
      </c>
    </row>
    <row r="17" spans="2:13" x14ac:dyDescent="0.25">
      <c r="B17" s="5"/>
      <c r="C17" s="7"/>
      <c r="D17" s="5"/>
      <c r="E17" s="5"/>
      <c r="F17" s="5"/>
      <c r="G17" s="5"/>
      <c r="I17" t="s">
        <v>41</v>
      </c>
      <c r="J17" s="5">
        <f>SUMIF(tblJaneiro12141618[Categoria],Tabela313151719[[#This Row],[Categoria]],tblJaneiro12141618[Valor])</f>
        <v>0</v>
      </c>
      <c r="L17" s="13">
        <v>43601</v>
      </c>
      <c r="M17">
        <v>4.5</v>
      </c>
    </row>
    <row r="18" spans="2:13" x14ac:dyDescent="0.25">
      <c r="B18" s="5"/>
      <c r="C18" s="7"/>
      <c r="D18" s="5"/>
      <c r="E18" s="5"/>
      <c r="F18" s="5"/>
      <c r="G18" s="5"/>
      <c r="I18" t="s">
        <v>42</v>
      </c>
      <c r="J18" s="5">
        <f>SUMIF(tblJaneiro12141618[Categoria],Tabela313151719[[#This Row],[Categoria]],tblJaneiro12141618[Valor])</f>
        <v>0</v>
      </c>
      <c r="L18" s="13">
        <v>43602</v>
      </c>
      <c r="M18">
        <v>4.5</v>
      </c>
    </row>
    <row r="19" spans="2:13" x14ac:dyDescent="0.25">
      <c r="B19" s="5"/>
      <c r="C19" s="7"/>
      <c r="D19" s="5"/>
      <c r="E19" s="5"/>
      <c r="F19" s="5"/>
      <c r="G19" s="5"/>
      <c r="I19" t="s">
        <v>18</v>
      </c>
      <c r="J19" s="12">
        <f>SUBTOTAL(109,Tabela313151719[Total])</f>
        <v>0</v>
      </c>
      <c r="L19" s="13">
        <v>43603</v>
      </c>
      <c r="M19">
        <v>4.5</v>
      </c>
    </row>
    <row r="20" spans="2:13" x14ac:dyDescent="0.25">
      <c r="B20" s="5"/>
      <c r="C20" s="7"/>
      <c r="D20" s="5"/>
      <c r="E20" s="5"/>
      <c r="F20" s="5"/>
      <c r="G20" s="5"/>
      <c r="L20" s="13">
        <v>43604</v>
      </c>
      <c r="M20">
        <v>4.5</v>
      </c>
    </row>
    <row r="21" spans="2:13" x14ac:dyDescent="0.25">
      <c r="B21" s="5"/>
      <c r="C21" s="7"/>
      <c r="D21" s="5"/>
      <c r="E21" s="5"/>
      <c r="F21" s="5"/>
      <c r="G21" s="5"/>
      <c r="L21" s="13">
        <v>43605</v>
      </c>
      <c r="M21">
        <v>4.5</v>
      </c>
    </row>
    <row r="22" spans="2:13" x14ac:dyDescent="0.25">
      <c r="B22" s="5"/>
      <c r="C22" s="7"/>
      <c r="D22" s="5"/>
      <c r="E22" s="5"/>
      <c r="F22" s="5"/>
      <c r="G22" s="5"/>
      <c r="L22" s="13">
        <v>43606</v>
      </c>
      <c r="M22">
        <v>4.5</v>
      </c>
    </row>
    <row r="23" spans="2:13" x14ac:dyDescent="0.25">
      <c r="B23" s="5"/>
      <c r="C23" s="7"/>
      <c r="D23" s="5"/>
      <c r="E23" s="5"/>
      <c r="F23" s="5"/>
      <c r="G23" s="5"/>
      <c r="L23" s="13">
        <v>43607</v>
      </c>
      <c r="M23">
        <v>4.5</v>
      </c>
    </row>
    <row r="24" spans="2:13" x14ac:dyDescent="0.25">
      <c r="B24" s="5"/>
      <c r="C24" s="7"/>
      <c r="D24" s="5"/>
      <c r="E24" s="5"/>
      <c r="F24" s="5"/>
      <c r="G24" s="5"/>
      <c r="L24" s="13">
        <v>43608</v>
      </c>
      <c r="M24">
        <v>4.5</v>
      </c>
    </row>
    <row r="25" spans="2:13" x14ac:dyDescent="0.25">
      <c r="B25" s="5"/>
      <c r="C25" s="7"/>
      <c r="D25" s="5"/>
      <c r="E25" s="5"/>
      <c r="F25" s="5"/>
      <c r="G25" s="5"/>
      <c r="L25" s="13">
        <v>43609</v>
      </c>
      <c r="M25">
        <v>4.5</v>
      </c>
    </row>
    <row r="26" spans="2:13" x14ac:dyDescent="0.25">
      <c r="B26" s="5"/>
      <c r="C26" s="7"/>
      <c r="D26" s="5"/>
      <c r="E26" s="5"/>
      <c r="F26" s="5"/>
      <c r="G26" s="5"/>
      <c r="L26" s="13">
        <v>43610</v>
      </c>
      <c r="M26">
        <v>4.5</v>
      </c>
    </row>
    <row r="27" spans="2:13" x14ac:dyDescent="0.25">
      <c r="B27" s="5"/>
      <c r="C27" s="7"/>
      <c r="D27" s="5"/>
      <c r="E27" s="5"/>
      <c r="F27" s="5"/>
      <c r="G27" s="5"/>
      <c r="L27" s="13">
        <v>43611</v>
      </c>
      <c r="M27">
        <v>4.5</v>
      </c>
    </row>
    <row r="28" spans="2:13" x14ac:dyDescent="0.25">
      <c r="B28" s="5"/>
      <c r="C28" s="7"/>
      <c r="D28" s="5"/>
      <c r="E28" s="5"/>
      <c r="F28" s="5"/>
      <c r="G28" s="5"/>
      <c r="L28" s="13">
        <v>43612</v>
      </c>
      <c r="M28">
        <v>4.5</v>
      </c>
    </row>
    <row r="29" spans="2:13" x14ac:dyDescent="0.25">
      <c r="B29" s="5"/>
      <c r="C29" s="7"/>
      <c r="D29" s="5"/>
      <c r="E29" s="5"/>
      <c r="F29" s="5"/>
      <c r="G29" s="5"/>
      <c r="L29" s="13">
        <v>43613</v>
      </c>
      <c r="M29">
        <v>4.5</v>
      </c>
    </row>
    <row r="30" spans="2:13" x14ac:dyDescent="0.25">
      <c r="B30" s="5"/>
      <c r="C30" s="7"/>
      <c r="D30" s="5"/>
      <c r="E30" s="5"/>
      <c r="F30" s="5"/>
      <c r="G30" s="5"/>
      <c r="L30" s="13">
        <v>43614</v>
      </c>
      <c r="M30">
        <v>4.5</v>
      </c>
    </row>
    <row r="31" spans="2:13" x14ac:dyDescent="0.25">
      <c r="B31" s="5"/>
      <c r="C31" s="7"/>
      <c r="D31" s="5"/>
      <c r="E31" s="5"/>
      <c r="F31" s="5"/>
      <c r="G31" s="5"/>
      <c r="L31" s="13">
        <v>43615</v>
      </c>
      <c r="M31">
        <v>4.5</v>
      </c>
    </row>
    <row r="32" spans="2:13" x14ac:dyDescent="0.25">
      <c r="B32" s="5"/>
      <c r="C32" s="7"/>
      <c r="D32" s="5"/>
      <c r="E32" s="5"/>
      <c r="F32" s="5"/>
      <c r="G32" s="5"/>
      <c r="L32" s="13">
        <v>43616</v>
      </c>
      <c r="M32">
        <v>4.5</v>
      </c>
    </row>
    <row r="33" spans="2:13" x14ac:dyDescent="0.25">
      <c r="B33" s="5"/>
      <c r="C33" s="7"/>
      <c r="D33" s="5"/>
      <c r="E33" s="5"/>
      <c r="F33" s="5"/>
      <c r="G33" s="5"/>
      <c r="M33">
        <f>SUM(M2:M32)</f>
        <v>139.5</v>
      </c>
    </row>
    <row r="34" spans="2:13" x14ac:dyDescent="0.25">
      <c r="B34" s="11"/>
      <c r="C34" s="7"/>
      <c r="D34" s="7"/>
      <c r="E34" s="5"/>
      <c r="F34" s="5"/>
      <c r="G34" s="5"/>
    </row>
    <row r="35" spans="2:13" x14ac:dyDescent="0.25">
      <c r="B35" s="5"/>
      <c r="C35" s="7"/>
      <c r="D35" s="7"/>
      <c r="E35" s="5"/>
      <c r="F35" s="5"/>
      <c r="G35" s="5"/>
    </row>
    <row r="36" spans="2:13" x14ac:dyDescent="0.25">
      <c r="B36" s="5"/>
      <c r="C36" s="7"/>
      <c r="D36" s="5"/>
      <c r="E36" s="5"/>
      <c r="F36" s="5"/>
      <c r="G36" s="5"/>
    </row>
    <row r="37" spans="2:13" x14ac:dyDescent="0.25">
      <c r="B37" s="5"/>
      <c r="C37" s="7"/>
      <c r="D37" s="5"/>
      <c r="E37" s="5"/>
      <c r="F37" s="5"/>
      <c r="G37" s="5"/>
    </row>
    <row r="38" spans="2:13" x14ac:dyDescent="0.25">
      <c r="B38" s="5"/>
      <c r="C38" s="7"/>
      <c r="D38" s="5"/>
      <c r="E38" s="5"/>
      <c r="F38" s="5"/>
      <c r="G38" s="5"/>
    </row>
    <row r="39" spans="2:13" x14ac:dyDescent="0.25">
      <c r="B39" s="5"/>
      <c r="C39" s="7"/>
      <c r="D39" s="5"/>
      <c r="E39" s="5"/>
      <c r="F39" s="5"/>
      <c r="G39" s="5"/>
    </row>
    <row r="40" spans="2:13" x14ac:dyDescent="0.25">
      <c r="B40" s="5"/>
      <c r="C40" s="7"/>
      <c r="D40" s="5"/>
      <c r="E40" s="5"/>
      <c r="F40" s="5"/>
      <c r="G40" s="5"/>
    </row>
    <row r="41" spans="2:13" x14ac:dyDescent="0.25">
      <c r="B41" s="5"/>
      <c r="C41" s="7"/>
      <c r="D41" s="5"/>
      <c r="E41" s="5"/>
      <c r="F41" s="5"/>
      <c r="G41" s="5"/>
    </row>
    <row r="42" spans="2:13" x14ac:dyDescent="0.25">
      <c r="B42" s="5"/>
      <c r="C42" s="7"/>
      <c r="D42" s="5"/>
      <c r="E42" s="5"/>
      <c r="F42" s="5"/>
      <c r="G42" s="5"/>
    </row>
    <row r="43" spans="2:13" x14ac:dyDescent="0.25">
      <c r="B43" s="5"/>
      <c r="C43" s="7"/>
      <c r="D43" s="5"/>
      <c r="E43" s="5"/>
      <c r="F43" s="5"/>
      <c r="G43" s="5"/>
    </row>
    <row r="44" spans="2:13" x14ac:dyDescent="0.25">
      <c r="B44" s="5"/>
      <c r="C44" s="7"/>
      <c r="D44" s="5"/>
      <c r="E44" s="5"/>
      <c r="F44" s="5"/>
      <c r="G44" s="5"/>
    </row>
    <row r="45" spans="2:13" x14ac:dyDescent="0.25">
      <c r="B45" s="5"/>
      <c r="C45" s="7"/>
      <c r="D45" s="5"/>
      <c r="E45" s="5"/>
      <c r="F45" s="5"/>
      <c r="G45" s="5"/>
    </row>
    <row r="46" spans="2:13" x14ac:dyDescent="0.25">
      <c r="B46" s="5"/>
      <c r="C46" s="7"/>
      <c r="D46" s="5"/>
      <c r="E46" s="5"/>
      <c r="F46" s="5"/>
      <c r="G46" s="5"/>
    </row>
    <row r="47" spans="2:13" x14ac:dyDescent="0.25">
      <c r="B47" s="5"/>
      <c r="C47" s="7"/>
      <c r="D47" s="5"/>
      <c r="E47" s="5"/>
      <c r="F47" s="5"/>
      <c r="G47" s="5"/>
    </row>
    <row r="48" spans="2:13" x14ac:dyDescent="0.25">
      <c r="B48" s="5"/>
      <c r="C48" s="7"/>
      <c r="D48" s="5"/>
      <c r="E48" s="5"/>
      <c r="F48" s="5"/>
      <c r="G48" s="5"/>
    </row>
    <row r="49" spans="2:7" x14ac:dyDescent="0.25">
      <c r="B49" s="5"/>
      <c r="C49" s="7"/>
      <c r="D49" s="5"/>
      <c r="E49" s="5"/>
      <c r="F49" s="5"/>
      <c r="G49" s="5"/>
    </row>
    <row r="50" spans="2:7" x14ac:dyDescent="0.25">
      <c r="B50" s="5"/>
      <c r="C50" s="7"/>
      <c r="D50" s="5"/>
      <c r="E50" s="5"/>
      <c r="F50" s="5"/>
      <c r="G50" s="5"/>
    </row>
    <row r="51" spans="2:7" x14ac:dyDescent="0.25">
      <c r="B51" s="5"/>
      <c r="C51" s="7"/>
      <c r="D51" s="5"/>
      <c r="E51" s="5"/>
      <c r="F51" s="5"/>
      <c r="G51" s="5"/>
    </row>
    <row r="52" spans="2:7" x14ac:dyDescent="0.25">
      <c r="B52" s="5"/>
      <c r="C52" s="7"/>
      <c r="D52" s="5"/>
      <c r="E52" s="5"/>
      <c r="F52" s="5"/>
      <c r="G52" s="5"/>
    </row>
    <row r="53" spans="2:7" x14ac:dyDescent="0.25">
      <c r="B53" s="5"/>
      <c r="C53" s="7"/>
      <c r="D53" s="5"/>
      <c r="E53" s="5"/>
      <c r="F53" s="5"/>
      <c r="G53" s="5"/>
    </row>
    <row r="54" spans="2:7" x14ac:dyDescent="0.25">
      <c r="B54" s="5"/>
      <c r="C54" s="7"/>
      <c r="D54" s="5"/>
      <c r="E54" s="5"/>
      <c r="F54" s="5"/>
      <c r="G54" s="5"/>
    </row>
    <row r="55" spans="2:7" x14ac:dyDescent="0.25">
      <c r="B55" s="5"/>
      <c r="C55" s="7"/>
      <c r="D55" s="5"/>
      <c r="E55" s="5"/>
      <c r="F55" s="5"/>
      <c r="G55" s="5"/>
    </row>
    <row r="56" spans="2:7" x14ac:dyDescent="0.25">
      <c r="B56" s="5"/>
      <c r="C56" s="7"/>
      <c r="D56" s="5"/>
      <c r="E56" s="5"/>
      <c r="F56" s="5"/>
      <c r="G56" s="5"/>
    </row>
    <row r="57" spans="2:7" x14ac:dyDescent="0.25">
      <c r="B57" s="5"/>
      <c r="C57" s="7"/>
      <c r="D57" s="5"/>
      <c r="E57" s="5"/>
      <c r="F57" s="5"/>
      <c r="G57" s="5"/>
    </row>
    <row r="58" spans="2:7" x14ac:dyDescent="0.25">
      <c r="B58" s="5"/>
      <c r="C58" s="7"/>
      <c r="D58" s="5"/>
      <c r="E58" s="5"/>
      <c r="F58" s="5"/>
      <c r="G58" s="5"/>
    </row>
    <row r="59" spans="2:7" x14ac:dyDescent="0.25">
      <c r="B59" s="5"/>
      <c r="C59" s="7"/>
      <c r="D59" s="5"/>
      <c r="E59" s="5"/>
      <c r="F59" s="5"/>
      <c r="G59" s="5"/>
    </row>
    <row r="60" spans="2:7" x14ac:dyDescent="0.25">
      <c r="B60" s="5"/>
      <c r="C60" s="7"/>
      <c r="D60" s="5"/>
      <c r="E60" s="5"/>
      <c r="F60" s="5"/>
      <c r="G60" s="5"/>
    </row>
    <row r="61" spans="2:7" x14ac:dyDescent="0.25">
      <c r="B61" s="5"/>
      <c r="C61" s="7"/>
      <c r="D61" s="5"/>
      <c r="E61" s="5"/>
      <c r="F61" s="5"/>
      <c r="G61" s="5"/>
    </row>
    <row r="62" spans="2:7" x14ac:dyDescent="0.25">
      <c r="B62" s="5"/>
      <c r="C62" s="7"/>
      <c r="D62" s="5"/>
      <c r="E62" s="5"/>
      <c r="F62" s="5"/>
      <c r="G62" s="5"/>
    </row>
    <row r="63" spans="2:7" x14ac:dyDescent="0.25">
      <c r="B63" s="5"/>
      <c r="C63" s="7"/>
      <c r="D63" s="5"/>
      <c r="E63" s="5"/>
      <c r="F63" s="5"/>
      <c r="G63" s="5"/>
    </row>
    <row r="64" spans="2:7" x14ac:dyDescent="0.25">
      <c r="B64" s="5"/>
      <c r="C64" s="7"/>
      <c r="D64" s="5"/>
      <c r="E64" s="5"/>
      <c r="F64" s="5"/>
      <c r="G64" s="5"/>
    </row>
    <row r="65" spans="2:7" x14ac:dyDescent="0.25">
      <c r="B65" s="5"/>
      <c r="C65" s="7"/>
      <c r="D65" s="5"/>
      <c r="E65" s="5"/>
      <c r="F65" s="5"/>
      <c r="G65" s="5"/>
    </row>
    <row r="66" spans="2:7" x14ac:dyDescent="0.25">
      <c r="B66" s="5"/>
      <c r="C66" s="7"/>
      <c r="D66" s="5"/>
      <c r="E66" s="5"/>
      <c r="F66" s="5"/>
      <c r="G66" s="5"/>
    </row>
    <row r="67" spans="2:7" x14ac:dyDescent="0.25">
      <c r="B67" s="5"/>
      <c r="C67" s="7"/>
      <c r="D67" s="5"/>
      <c r="E67" s="5"/>
      <c r="F67" s="5"/>
      <c r="G67" s="5"/>
    </row>
    <row r="68" spans="2:7" x14ac:dyDescent="0.25">
      <c r="B68" s="5"/>
      <c r="C68" s="7"/>
      <c r="D68" s="5"/>
      <c r="E68" s="5"/>
      <c r="F68" s="5"/>
      <c r="G68" s="5"/>
    </row>
    <row r="69" spans="2:7" x14ac:dyDescent="0.25">
      <c r="B69" s="5"/>
      <c r="C69" s="7"/>
      <c r="D69" s="5"/>
      <c r="E69" s="5"/>
      <c r="F69" s="5"/>
      <c r="G69" s="5"/>
    </row>
    <row r="70" spans="2:7" x14ac:dyDescent="0.25">
      <c r="B70" s="5"/>
      <c r="C70" s="7"/>
      <c r="D70" s="5"/>
      <c r="E70" s="5"/>
      <c r="F70" s="5"/>
      <c r="G70" s="5"/>
    </row>
    <row r="71" spans="2:7" x14ac:dyDescent="0.25">
      <c r="B71" s="5"/>
      <c r="C71" s="7"/>
      <c r="D71" s="5"/>
      <c r="E71" s="5"/>
      <c r="F71" s="5"/>
      <c r="G71" s="5"/>
    </row>
    <row r="72" spans="2:7" x14ac:dyDescent="0.25">
      <c r="B72" s="5"/>
      <c r="C72" s="7"/>
      <c r="D72" s="5"/>
      <c r="E72" s="5"/>
      <c r="F72" s="5"/>
      <c r="G72" s="5"/>
    </row>
    <row r="73" spans="2:7" x14ac:dyDescent="0.25">
      <c r="B73" s="5"/>
      <c r="C73" s="7"/>
      <c r="D73" s="5"/>
      <c r="E73" s="5"/>
      <c r="F73" s="5"/>
      <c r="G73" s="5"/>
    </row>
    <row r="74" spans="2:7" x14ac:dyDescent="0.25">
      <c r="B74" s="5"/>
      <c r="C74" s="7"/>
      <c r="D74" s="5"/>
      <c r="E74" s="5"/>
      <c r="F74" s="5"/>
      <c r="G74" s="5"/>
    </row>
    <row r="75" spans="2:7" x14ac:dyDescent="0.25">
      <c r="B75" s="5"/>
      <c r="C75" s="7"/>
      <c r="D75" s="5"/>
      <c r="E75" s="5"/>
      <c r="F75" s="5"/>
      <c r="G75" s="5"/>
    </row>
    <row r="76" spans="2:7" x14ac:dyDescent="0.25">
      <c r="B76" s="5"/>
      <c r="C76" s="7"/>
      <c r="D76" s="5"/>
      <c r="E76" s="5"/>
      <c r="F76" s="5"/>
      <c r="G76" s="5"/>
    </row>
    <row r="77" spans="2:7" x14ac:dyDescent="0.25">
      <c r="B77" s="5"/>
      <c r="C77" s="7"/>
      <c r="D77" s="5"/>
      <c r="E77" s="5"/>
      <c r="F77" s="5"/>
      <c r="G77" s="5"/>
    </row>
    <row r="78" spans="2:7" x14ac:dyDescent="0.25">
      <c r="B78" s="5"/>
      <c r="C78" s="7"/>
      <c r="D78" s="5"/>
      <c r="E78" s="5"/>
      <c r="F78" s="5"/>
      <c r="G78" s="5"/>
    </row>
    <row r="79" spans="2:7" x14ac:dyDescent="0.25">
      <c r="B79" s="5"/>
      <c r="C79" s="7"/>
      <c r="D79" s="5"/>
      <c r="E79" s="5"/>
      <c r="F79" s="5"/>
      <c r="G79" s="5"/>
    </row>
    <row r="80" spans="2:7" x14ac:dyDescent="0.25">
      <c r="B80" s="5"/>
      <c r="C80" s="7"/>
      <c r="D80" s="5"/>
      <c r="E80" s="5"/>
      <c r="F80" s="5"/>
      <c r="G80" s="5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500-000000000000}">
          <x14:formula1>
            <xm:f>'2022'!$B$3:$B$19</xm:f>
          </x14:formula1>
          <xm:sqref>A2:A80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M85"/>
  <sheetViews>
    <sheetView workbookViewId="0">
      <selection activeCell="A2" sqref="A2:G85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8.7109375" bestFit="1" customWidth="1"/>
    <col min="5" max="5" width="9.42578125" bestFit="1" customWidth="1"/>
    <col min="6" max="6" width="9.85546875" bestFit="1" customWidth="1"/>
    <col min="7" max="7" width="21.42578125" bestFit="1" customWidth="1"/>
    <col min="8" max="8" width="1.42578125" customWidth="1"/>
    <col min="9" max="9" width="13.85546875" bestFit="1" customWidth="1"/>
    <col min="10" max="10" width="10.85546875" bestFit="1" customWidth="1"/>
    <col min="12" max="12" width="10.7109375" bestFit="1" customWidth="1"/>
  </cols>
  <sheetData>
    <row r="1" spans="1:13" s="9" customFormat="1" x14ac:dyDescent="0.25">
      <c r="A1" s="9" t="s">
        <v>0</v>
      </c>
      <c r="B1" s="9" t="s">
        <v>23</v>
      </c>
      <c r="C1" s="10" t="s">
        <v>24</v>
      </c>
      <c r="D1" s="9" t="s">
        <v>36</v>
      </c>
      <c r="E1" s="9" t="s">
        <v>35</v>
      </c>
      <c r="F1" s="9" t="s">
        <v>34</v>
      </c>
      <c r="G1" s="9" t="s">
        <v>33</v>
      </c>
      <c r="I1" s="9" t="s">
        <v>0</v>
      </c>
      <c r="J1" s="9" t="s">
        <v>18</v>
      </c>
    </row>
    <row r="2" spans="1:13" x14ac:dyDescent="0.25">
      <c r="B2" s="5"/>
      <c r="C2" s="7"/>
      <c r="D2" s="5"/>
      <c r="E2" s="5"/>
      <c r="F2" s="5"/>
      <c r="G2" s="5"/>
      <c r="I2" t="s">
        <v>1</v>
      </c>
      <c r="J2" s="5">
        <f>SUMIF(tblJaneiro1214161820[Categoria],Tabela31315171921[[#This Row],[Categoria]],tblJaneiro1214161820[Valor])</f>
        <v>0</v>
      </c>
      <c r="L2" s="13">
        <v>43617</v>
      </c>
      <c r="M2">
        <v>4.5</v>
      </c>
    </row>
    <row r="3" spans="1:13" x14ac:dyDescent="0.25">
      <c r="B3" s="5"/>
      <c r="C3" s="7"/>
      <c r="D3" s="5"/>
      <c r="E3" s="5"/>
      <c r="F3" s="5"/>
      <c r="G3" s="5"/>
      <c r="I3" t="s">
        <v>2</v>
      </c>
      <c r="J3" s="5">
        <f>SUMIF(tblJaneiro1214161820[Categoria],Tabela31315171921[[#This Row],[Categoria]],tblJaneiro1214161820[Valor])</f>
        <v>0</v>
      </c>
      <c r="L3" s="13">
        <v>43618</v>
      </c>
      <c r="M3">
        <v>4.5</v>
      </c>
    </row>
    <row r="4" spans="1:13" x14ac:dyDescent="0.25">
      <c r="B4" s="5"/>
      <c r="C4" s="7"/>
      <c r="D4" s="5"/>
      <c r="E4" s="5"/>
      <c r="F4" s="5"/>
      <c r="G4" s="5"/>
      <c r="I4" t="s">
        <v>25</v>
      </c>
      <c r="J4" s="5">
        <f>SUMIF(tblJaneiro1214161820[Categoria],Tabela31315171921[[#This Row],[Categoria]],tblJaneiro1214161820[Valor])</f>
        <v>0</v>
      </c>
      <c r="L4" s="13">
        <v>43619</v>
      </c>
      <c r="M4">
        <v>4.5</v>
      </c>
    </row>
    <row r="5" spans="1:13" x14ac:dyDescent="0.25">
      <c r="B5" s="5"/>
      <c r="C5" s="7"/>
      <c r="D5" s="5"/>
      <c r="E5" s="5"/>
      <c r="F5" s="5"/>
      <c r="G5" s="5"/>
      <c r="I5" t="s">
        <v>26</v>
      </c>
      <c r="J5" s="5">
        <f>SUMIF(tblJaneiro1214161820[Categoria],Tabela31315171921[[#This Row],[Categoria]],tblJaneiro1214161820[Valor])</f>
        <v>0</v>
      </c>
      <c r="L5" s="13">
        <v>43620</v>
      </c>
      <c r="M5">
        <v>4.5</v>
      </c>
    </row>
    <row r="6" spans="1:13" x14ac:dyDescent="0.25">
      <c r="B6" s="5"/>
      <c r="C6" s="7"/>
      <c r="D6" s="5"/>
      <c r="E6" s="5"/>
      <c r="F6" s="5"/>
      <c r="G6" s="5"/>
      <c r="I6" t="s">
        <v>27</v>
      </c>
      <c r="J6" s="5">
        <f>SUMIF(tblJaneiro1214161820[Categoria],Tabela31315171921[[#This Row],[Categoria]],tblJaneiro1214161820[Valor])</f>
        <v>0</v>
      </c>
      <c r="L6" s="13">
        <v>43621</v>
      </c>
      <c r="M6">
        <v>4.5</v>
      </c>
    </row>
    <row r="7" spans="1:13" x14ac:dyDescent="0.25">
      <c r="B7" s="5"/>
      <c r="C7" s="7"/>
      <c r="D7" s="5"/>
      <c r="E7" s="5"/>
      <c r="F7" s="5"/>
      <c r="G7" s="5"/>
      <c r="I7" t="s">
        <v>28</v>
      </c>
      <c r="J7" s="5">
        <f>SUMIF(tblJaneiro1214161820[Categoria],Tabela31315171921[[#This Row],[Categoria]],tblJaneiro1214161820[Valor])</f>
        <v>0</v>
      </c>
      <c r="L7" s="13">
        <v>43622</v>
      </c>
      <c r="M7">
        <v>4.5</v>
      </c>
    </row>
    <row r="8" spans="1:13" x14ac:dyDescent="0.25">
      <c r="B8" s="5"/>
      <c r="C8" s="7"/>
      <c r="D8" s="5"/>
      <c r="E8" s="5"/>
      <c r="F8" s="5"/>
      <c r="G8" s="5"/>
      <c r="I8" t="s">
        <v>29</v>
      </c>
      <c r="J8" s="5">
        <f>SUMIF(tblJaneiro1214161820[Categoria],Tabela31315171921[[#This Row],[Categoria]],tblJaneiro1214161820[Valor])</f>
        <v>0</v>
      </c>
      <c r="L8" s="13">
        <v>43623</v>
      </c>
      <c r="M8">
        <v>4.5</v>
      </c>
    </row>
    <row r="9" spans="1:13" x14ac:dyDescent="0.25">
      <c r="B9" s="5"/>
      <c r="C9" s="7"/>
      <c r="D9" s="5"/>
      <c r="E9" s="5"/>
      <c r="F9" s="5"/>
      <c r="G9" s="5"/>
      <c r="I9" t="s">
        <v>30</v>
      </c>
      <c r="J9" s="5">
        <f>SUMIF(tblJaneiro1214161820[Categoria],Tabela31315171921[[#This Row],[Categoria]],tblJaneiro1214161820[Valor])</f>
        <v>0</v>
      </c>
      <c r="L9" s="13">
        <v>43624</v>
      </c>
      <c r="M9">
        <v>4.5</v>
      </c>
    </row>
    <row r="10" spans="1:13" x14ac:dyDescent="0.25">
      <c r="B10" s="5"/>
      <c r="C10" s="7"/>
      <c r="D10" s="5"/>
      <c r="E10" s="5"/>
      <c r="F10" s="5"/>
      <c r="G10" s="5"/>
      <c r="I10" t="s">
        <v>19</v>
      </c>
      <c r="J10" s="5">
        <f>SUMIF(tblJaneiro1214161820[Categoria],Tabela31315171921[[#This Row],[Categoria]],tblJaneiro1214161820[Valor])</f>
        <v>0</v>
      </c>
      <c r="L10" s="13">
        <v>43625</v>
      </c>
      <c r="M10">
        <v>4.5</v>
      </c>
    </row>
    <row r="11" spans="1:13" x14ac:dyDescent="0.25">
      <c r="B11" s="5"/>
      <c r="C11" s="7"/>
      <c r="D11" s="5"/>
      <c r="E11" s="5"/>
      <c r="F11" s="5"/>
      <c r="G11" s="5"/>
      <c r="I11" t="s">
        <v>32</v>
      </c>
      <c r="J11" s="5">
        <f>SUMIF(tblJaneiro1214161820[Categoria],Tabela31315171921[[#This Row],[Categoria]],tblJaneiro1214161820[Valor])</f>
        <v>0</v>
      </c>
      <c r="L11" s="13">
        <v>43626</v>
      </c>
      <c r="M11">
        <v>4.5</v>
      </c>
    </row>
    <row r="12" spans="1:13" x14ac:dyDescent="0.25">
      <c r="B12" s="5"/>
      <c r="C12" s="7"/>
      <c r="D12" s="5"/>
      <c r="E12" s="5"/>
      <c r="F12" s="5"/>
      <c r="G12" s="5"/>
      <c r="I12" t="s">
        <v>31</v>
      </c>
      <c r="J12" s="5">
        <f>SUMIF(tblJaneiro1214161820[Categoria],Tabela31315171921[[#This Row],[Categoria]],tblJaneiro1214161820[Valor])</f>
        <v>0</v>
      </c>
      <c r="L12" s="13">
        <v>43627</v>
      </c>
      <c r="M12">
        <v>4.5</v>
      </c>
    </row>
    <row r="13" spans="1:13" x14ac:dyDescent="0.25">
      <c r="B13" s="5"/>
      <c r="C13" s="7"/>
      <c r="D13" s="5"/>
      <c r="E13" s="5"/>
      <c r="F13" s="5"/>
      <c r="G13" s="5"/>
      <c r="I13" t="s">
        <v>37</v>
      </c>
      <c r="J13" s="5">
        <f>SUMIF(tblJaneiro1214161820[Categoria],Tabela31315171921[[#This Row],[Categoria]],tblJaneiro1214161820[Valor])</f>
        <v>0</v>
      </c>
      <c r="L13" s="13">
        <v>43628</v>
      </c>
      <c r="M13">
        <v>4.5</v>
      </c>
    </row>
    <row r="14" spans="1:13" x14ac:dyDescent="0.25">
      <c r="B14" s="5"/>
      <c r="C14" s="7"/>
      <c r="D14" s="5"/>
      <c r="E14" s="5"/>
      <c r="F14" s="5"/>
      <c r="G14" s="5"/>
      <c r="I14" t="s">
        <v>38</v>
      </c>
      <c r="J14" s="5">
        <f>SUMIF(tblJaneiro1214161820[Categoria],Tabela31315171921[[#This Row],[Categoria]],tblJaneiro1214161820[Valor])</f>
        <v>0</v>
      </c>
      <c r="L14" s="13">
        <v>43629</v>
      </c>
      <c r="M14">
        <v>4.5</v>
      </c>
    </row>
    <row r="15" spans="1:13" x14ac:dyDescent="0.25">
      <c r="B15" s="5"/>
      <c r="C15" s="7"/>
      <c r="D15" s="5"/>
      <c r="E15" s="5"/>
      <c r="F15" s="5"/>
      <c r="G15" s="5"/>
      <c r="I15" t="s">
        <v>39</v>
      </c>
      <c r="J15" s="5">
        <f>SUMIF(tblJaneiro1214161820[Categoria],Tabela31315171921[[#This Row],[Categoria]],tblJaneiro1214161820[Valor])</f>
        <v>0</v>
      </c>
      <c r="L15" s="13">
        <v>43630</v>
      </c>
      <c r="M15">
        <v>4.5</v>
      </c>
    </row>
    <row r="16" spans="1:13" x14ac:dyDescent="0.25">
      <c r="B16" s="5"/>
      <c r="C16" s="7"/>
      <c r="D16" s="5"/>
      <c r="E16" s="5"/>
      <c r="F16" s="5"/>
      <c r="G16" s="5"/>
      <c r="I16" t="s">
        <v>40</v>
      </c>
      <c r="J16" s="5">
        <f>SUMIF(tblJaneiro1214161820[Categoria],Tabela31315171921[[#This Row],[Categoria]],tblJaneiro1214161820[Valor])</f>
        <v>0</v>
      </c>
      <c r="L16" s="13">
        <v>43631</v>
      </c>
      <c r="M16">
        <v>4.5</v>
      </c>
    </row>
    <row r="17" spans="2:13" x14ac:dyDescent="0.25">
      <c r="B17" s="5"/>
      <c r="C17" s="7"/>
      <c r="D17" s="5"/>
      <c r="E17" s="5"/>
      <c r="F17" s="5"/>
      <c r="G17" s="5"/>
      <c r="I17" t="s">
        <v>41</v>
      </c>
      <c r="J17" s="5">
        <f>SUMIF(tblJaneiro1214161820[Categoria],Tabela31315171921[[#This Row],[Categoria]],tblJaneiro1214161820[Valor])</f>
        <v>0</v>
      </c>
      <c r="L17" s="13">
        <v>43632</v>
      </c>
      <c r="M17">
        <v>4.5</v>
      </c>
    </row>
    <row r="18" spans="2:13" x14ac:dyDescent="0.25">
      <c r="B18" s="5"/>
      <c r="C18" s="7"/>
      <c r="D18" s="5"/>
      <c r="E18" s="5"/>
      <c r="F18" s="5"/>
      <c r="G18" s="5"/>
      <c r="I18" t="s">
        <v>42</v>
      </c>
      <c r="J18" s="5">
        <f>SUMIF(tblJaneiro1214161820[Categoria],Tabela31315171921[[#This Row],[Categoria]],tblJaneiro1214161820[Valor])</f>
        <v>0</v>
      </c>
      <c r="L18" s="13">
        <v>43633</v>
      </c>
      <c r="M18">
        <v>4.5</v>
      </c>
    </row>
    <row r="19" spans="2:13" x14ac:dyDescent="0.25">
      <c r="B19" s="5"/>
      <c r="C19" s="7"/>
      <c r="D19" s="5"/>
      <c r="E19" s="5"/>
      <c r="F19" s="5"/>
      <c r="G19" s="5"/>
      <c r="I19" t="s">
        <v>18</v>
      </c>
      <c r="J19" s="12">
        <f>SUBTOTAL(109,Tabela31315171921[Total])</f>
        <v>0</v>
      </c>
      <c r="L19" s="13">
        <v>43634</v>
      </c>
      <c r="M19">
        <v>4.5</v>
      </c>
    </row>
    <row r="20" spans="2:13" x14ac:dyDescent="0.25">
      <c r="B20" s="5"/>
      <c r="C20" s="7"/>
      <c r="D20" s="5"/>
      <c r="E20" s="5"/>
      <c r="F20" s="5"/>
      <c r="G20" s="5"/>
      <c r="L20" s="13">
        <v>43635</v>
      </c>
      <c r="M20">
        <v>4.5</v>
      </c>
    </row>
    <row r="21" spans="2:13" x14ac:dyDescent="0.25">
      <c r="B21" s="5"/>
      <c r="C21" s="7"/>
      <c r="D21" s="5"/>
      <c r="E21" s="5"/>
      <c r="F21" s="5"/>
      <c r="G21" s="5"/>
      <c r="L21" s="13">
        <v>43636</v>
      </c>
      <c r="M21">
        <v>4.5</v>
      </c>
    </row>
    <row r="22" spans="2:13" x14ac:dyDescent="0.25">
      <c r="B22" s="5"/>
      <c r="C22" s="7"/>
      <c r="D22" s="5"/>
      <c r="E22" s="5"/>
      <c r="F22" s="5"/>
      <c r="G22" s="5"/>
      <c r="L22" s="13">
        <v>43637</v>
      </c>
      <c r="M22">
        <v>4.5</v>
      </c>
    </row>
    <row r="23" spans="2:13" x14ac:dyDescent="0.25">
      <c r="B23" s="5"/>
      <c r="C23" s="7"/>
      <c r="D23" s="5"/>
      <c r="E23" s="5"/>
      <c r="F23" s="5"/>
      <c r="G23" s="5"/>
      <c r="L23" s="13">
        <v>43638</v>
      </c>
      <c r="M23">
        <v>4.5</v>
      </c>
    </row>
    <row r="24" spans="2:13" x14ac:dyDescent="0.25">
      <c r="B24" s="5"/>
      <c r="C24" s="7"/>
      <c r="D24" s="5"/>
      <c r="E24" s="5"/>
      <c r="F24" s="5"/>
      <c r="G24" s="5"/>
      <c r="L24" s="13">
        <v>43639</v>
      </c>
      <c r="M24">
        <v>4.5</v>
      </c>
    </row>
    <row r="25" spans="2:13" x14ac:dyDescent="0.25">
      <c r="B25" s="5"/>
      <c r="C25" s="7"/>
      <c r="D25" s="5"/>
      <c r="E25" s="5"/>
      <c r="F25" s="5"/>
      <c r="G25" s="5"/>
      <c r="L25" s="13">
        <v>43640</v>
      </c>
      <c r="M25">
        <v>4.5</v>
      </c>
    </row>
    <row r="26" spans="2:13" x14ac:dyDescent="0.25">
      <c r="B26" s="5"/>
      <c r="C26" s="7"/>
      <c r="D26" s="5"/>
      <c r="E26" s="5"/>
      <c r="F26" s="5"/>
      <c r="G26" s="5"/>
      <c r="L26" s="13">
        <v>43641</v>
      </c>
      <c r="M26">
        <v>4.5</v>
      </c>
    </row>
    <row r="27" spans="2:13" x14ac:dyDescent="0.25">
      <c r="B27" s="5"/>
      <c r="C27" s="7"/>
      <c r="D27" s="5"/>
      <c r="E27" s="5"/>
      <c r="F27" s="5"/>
      <c r="G27" s="5"/>
      <c r="L27" s="13">
        <v>43642</v>
      </c>
      <c r="M27">
        <v>4.5</v>
      </c>
    </row>
    <row r="28" spans="2:13" x14ac:dyDescent="0.25">
      <c r="B28" s="5"/>
      <c r="C28" s="7"/>
      <c r="D28" s="5"/>
      <c r="E28" s="5"/>
      <c r="F28" s="5"/>
      <c r="G28" s="5"/>
      <c r="L28" s="13">
        <v>43643</v>
      </c>
      <c r="M28">
        <v>4.5</v>
      </c>
    </row>
    <row r="29" spans="2:13" x14ac:dyDescent="0.25">
      <c r="B29" s="5"/>
      <c r="C29" s="7"/>
      <c r="D29" s="5"/>
      <c r="E29" s="5"/>
      <c r="F29" s="5"/>
      <c r="G29" s="5"/>
      <c r="L29" s="13">
        <v>43644</v>
      </c>
      <c r="M29">
        <v>4.5</v>
      </c>
    </row>
    <row r="30" spans="2:13" x14ac:dyDescent="0.25">
      <c r="B30" s="5"/>
      <c r="C30" s="7"/>
      <c r="D30" s="5"/>
      <c r="E30" s="5"/>
      <c r="F30" s="5"/>
      <c r="G30" s="5"/>
      <c r="L30" s="13">
        <v>43645</v>
      </c>
      <c r="M30">
        <v>4.5</v>
      </c>
    </row>
    <row r="31" spans="2:13" x14ac:dyDescent="0.25">
      <c r="B31" s="5"/>
      <c r="C31" s="7"/>
      <c r="D31" s="5"/>
      <c r="E31" s="5"/>
      <c r="F31" s="5"/>
      <c r="G31" s="5"/>
      <c r="L31" s="13">
        <v>43646</v>
      </c>
      <c r="M31">
        <v>4.5</v>
      </c>
    </row>
    <row r="32" spans="2:13" x14ac:dyDescent="0.25">
      <c r="B32" s="5"/>
      <c r="C32" s="7"/>
      <c r="D32" s="5"/>
      <c r="E32" s="5"/>
      <c r="F32" s="5"/>
      <c r="G32" s="5"/>
      <c r="M32">
        <f>SUM(M2:M31)</f>
        <v>135</v>
      </c>
    </row>
    <row r="33" spans="2:7" x14ac:dyDescent="0.25">
      <c r="B33" s="5"/>
      <c r="C33" s="7"/>
      <c r="D33" s="5"/>
      <c r="E33" s="5"/>
      <c r="F33" s="5"/>
      <c r="G33" s="5"/>
    </row>
    <row r="34" spans="2:7" x14ac:dyDescent="0.25">
      <c r="B34" s="11"/>
      <c r="C34" s="7"/>
      <c r="D34" s="7"/>
      <c r="E34" s="5"/>
      <c r="F34" s="5"/>
      <c r="G34" s="5"/>
    </row>
    <row r="35" spans="2:7" x14ac:dyDescent="0.25">
      <c r="B35" s="5"/>
      <c r="C35" s="7"/>
      <c r="D35" s="7"/>
      <c r="E35" s="5"/>
      <c r="F35" s="5"/>
      <c r="G35" s="5"/>
    </row>
    <row r="36" spans="2:7" x14ac:dyDescent="0.25">
      <c r="B36" s="5"/>
      <c r="C36" s="7"/>
      <c r="D36" s="5"/>
      <c r="E36" s="5"/>
      <c r="F36" s="5"/>
      <c r="G36" s="5"/>
    </row>
    <row r="37" spans="2:7" x14ac:dyDescent="0.25">
      <c r="B37" s="5"/>
      <c r="C37" s="7"/>
      <c r="D37" s="5"/>
      <c r="E37" s="5"/>
      <c r="F37" s="5"/>
      <c r="G37" s="5"/>
    </row>
    <row r="38" spans="2:7" x14ac:dyDescent="0.25">
      <c r="B38" s="5"/>
      <c r="C38" s="7"/>
      <c r="D38" s="5"/>
      <c r="E38" s="5"/>
      <c r="F38" s="5"/>
      <c r="G38" s="5"/>
    </row>
    <row r="39" spans="2:7" x14ac:dyDescent="0.25">
      <c r="B39" s="5"/>
      <c r="C39" s="7"/>
      <c r="D39" s="5"/>
      <c r="E39" s="5"/>
      <c r="F39" s="5"/>
      <c r="G39" s="5"/>
    </row>
    <row r="40" spans="2:7" x14ac:dyDescent="0.25">
      <c r="B40" s="5"/>
      <c r="C40" s="7"/>
      <c r="D40" s="5"/>
      <c r="E40" s="5"/>
      <c r="F40" s="5"/>
      <c r="G40" s="5"/>
    </row>
    <row r="41" spans="2:7" x14ac:dyDescent="0.25">
      <c r="B41" s="5"/>
      <c r="C41" s="7"/>
      <c r="D41" s="5"/>
      <c r="E41" s="5"/>
      <c r="F41" s="5"/>
      <c r="G41" s="5"/>
    </row>
    <row r="42" spans="2:7" x14ac:dyDescent="0.25">
      <c r="B42" s="5"/>
      <c r="C42" s="7"/>
      <c r="D42" s="5"/>
      <c r="E42" s="5"/>
      <c r="F42" s="5"/>
      <c r="G42" s="5"/>
    </row>
    <row r="43" spans="2:7" x14ac:dyDescent="0.25">
      <c r="B43" s="5"/>
      <c r="C43" s="7"/>
      <c r="D43" s="5"/>
      <c r="E43" s="5"/>
      <c r="F43" s="5"/>
      <c r="G43" s="5"/>
    </row>
    <row r="44" spans="2:7" x14ac:dyDescent="0.25">
      <c r="B44" s="5"/>
      <c r="C44" s="7"/>
      <c r="D44" s="5"/>
      <c r="E44" s="5"/>
      <c r="F44" s="5"/>
      <c r="G44" s="5"/>
    </row>
    <row r="45" spans="2:7" x14ac:dyDescent="0.25">
      <c r="B45" s="5"/>
      <c r="C45" s="7"/>
      <c r="D45" s="5"/>
      <c r="E45" s="5"/>
      <c r="F45" s="5"/>
      <c r="G45" s="5"/>
    </row>
    <row r="46" spans="2:7" x14ac:dyDescent="0.25">
      <c r="B46" s="5"/>
      <c r="C46" s="7"/>
      <c r="D46" s="5"/>
      <c r="E46" s="5"/>
      <c r="F46" s="5"/>
      <c r="G46" s="5"/>
    </row>
    <row r="47" spans="2:7" x14ac:dyDescent="0.25">
      <c r="B47" s="5"/>
      <c r="C47" s="7"/>
      <c r="D47" s="5"/>
      <c r="E47" s="5"/>
      <c r="F47" s="5"/>
      <c r="G47" s="5"/>
    </row>
    <row r="48" spans="2:7" x14ac:dyDescent="0.25">
      <c r="B48" s="5"/>
      <c r="C48" s="7"/>
      <c r="D48" s="5"/>
      <c r="E48" s="5"/>
      <c r="F48" s="5"/>
      <c r="G48" s="5"/>
    </row>
    <row r="49" spans="2:7" x14ac:dyDescent="0.25">
      <c r="B49" s="5"/>
      <c r="C49" s="7"/>
      <c r="D49" s="5"/>
      <c r="E49" s="5"/>
      <c r="F49" s="5"/>
      <c r="G49" s="5"/>
    </row>
    <row r="50" spans="2:7" x14ac:dyDescent="0.25">
      <c r="B50" s="5"/>
      <c r="C50" s="7"/>
      <c r="D50" s="5"/>
      <c r="E50" s="5"/>
      <c r="F50" s="5"/>
      <c r="G50" s="5"/>
    </row>
    <row r="51" spans="2:7" x14ac:dyDescent="0.25">
      <c r="B51" s="5"/>
      <c r="C51" s="7"/>
      <c r="D51" s="5"/>
      <c r="E51" s="5"/>
      <c r="F51" s="5"/>
      <c r="G51" s="5"/>
    </row>
    <row r="52" spans="2:7" x14ac:dyDescent="0.25">
      <c r="B52" s="5"/>
      <c r="C52" s="7"/>
      <c r="D52" s="5"/>
      <c r="E52" s="5"/>
      <c r="F52" s="5"/>
      <c r="G52" s="5"/>
    </row>
    <row r="53" spans="2:7" x14ac:dyDescent="0.25">
      <c r="B53" s="5"/>
      <c r="C53" s="7"/>
      <c r="D53" s="5"/>
      <c r="E53" s="5"/>
      <c r="F53" s="5"/>
      <c r="G53" s="5"/>
    </row>
    <row r="54" spans="2:7" x14ac:dyDescent="0.25">
      <c r="B54" s="5"/>
      <c r="C54" s="7"/>
      <c r="D54" s="5"/>
      <c r="E54" s="5"/>
      <c r="F54" s="5"/>
      <c r="G54" s="5"/>
    </row>
    <row r="55" spans="2:7" x14ac:dyDescent="0.25">
      <c r="B55" s="5"/>
      <c r="C55" s="7"/>
      <c r="D55" s="5"/>
      <c r="E55" s="5"/>
      <c r="F55" s="5"/>
      <c r="G55" s="5"/>
    </row>
    <row r="56" spans="2:7" x14ac:dyDescent="0.25">
      <c r="B56" s="5"/>
      <c r="C56" s="7"/>
      <c r="D56" s="5"/>
      <c r="E56" s="5"/>
      <c r="F56" s="5"/>
      <c r="G56" s="5"/>
    </row>
    <row r="57" spans="2:7" x14ac:dyDescent="0.25">
      <c r="B57" s="5"/>
      <c r="C57" s="7"/>
      <c r="D57" s="5"/>
      <c r="E57" s="5"/>
      <c r="F57" s="5"/>
      <c r="G57" s="5"/>
    </row>
    <row r="58" spans="2:7" x14ac:dyDescent="0.25">
      <c r="B58" s="5"/>
      <c r="C58" s="7"/>
      <c r="D58" s="5"/>
      <c r="E58" s="5"/>
      <c r="F58" s="5"/>
      <c r="G58" s="5"/>
    </row>
    <row r="59" spans="2:7" x14ac:dyDescent="0.25">
      <c r="B59" s="5"/>
      <c r="C59" s="7"/>
      <c r="D59" s="5"/>
      <c r="E59" s="5"/>
      <c r="F59" s="5"/>
      <c r="G59" s="5"/>
    </row>
    <row r="60" spans="2:7" x14ac:dyDescent="0.25">
      <c r="B60" s="5"/>
      <c r="C60" s="7"/>
      <c r="D60" s="5"/>
      <c r="E60" s="5"/>
      <c r="F60" s="5"/>
      <c r="G60" s="5"/>
    </row>
    <row r="61" spans="2:7" x14ac:dyDescent="0.25">
      <c r="B61" s="5"/>
      <c r="C61" s="7"/>
      <c r="D61" s="5"/>
      <c r="E61" s="5"/>
      <c r="F61" s="5"/>
      <c r="G61" s="5"/>
    </row>
    <row r="62" spans="2:7" x14ac:dyDescent="0.25">
      <c r="B62" s="5"/>
      <c r="C62" s="7"/>
      <c r="D62" s="5"/>
      <c r="E62" s="5"/>
      <c r="F62" s="5"/>
      <c r="G62" s="5"/>
    </row>
    <row r="63" spans="2:7" x14ac:dyDescent="0.25">
      <c r="B63" s="5"/>
      <c r="C63" s="7"/>
      <c r="D63" s="5"/>
      <c r="E63" s="5"/>
      <c r="F63" s="5"/>
      <c r="G63" s="5"/>
    </row>
    <row r="64" spans="2:7" x14ac:dyDescent="0.25">
      <c r="B64" s="5"/>
      <c r="C64" s="7"/>
      <c r="D64" s="5"/>
      <c r="E64" s="5"/>
      <c r="F64" s="5"/>
      <c r="G64" s="5"/>
    </row>
    <row r="65" spans="2:7" x14ac:dyDescent="0.25">
      <c r="B65" s="5"/>
      <c r="C65" s="7"/>
      <c r="D65" s="5"/>
      <c r="E65" s="5"/>
      <c r="F65" s="5"/>
      <c r="G65" s="5"/>
    </row>
    <row r="66" spans="2:7" x14ac:dyDescent="0.25">
      <c r="B66" s="5"/>
      <c r="C66" s="7"/>
      <c r="D66" s="5"/>
      <c r="E66" s="5"/>
      <c r="F66" s="5"/>
      <c r="G66" s="5"/>
    </row>
    <row r="67" spans="2:7" x14ac:dyDescent="0.25">
      <c r="B67" s="5"/>
      <c r="C67" s="7"/>
      <c r="D67" s="5"/>
      <c r="E67" s="5"/>
      <c r="F67" s="5"/>
      <c r="G67" s="5"/>
    </row>
    <row r="68" spans="2:7" x14ac:dyDescent="0.25">
      <c r="B68" s="5"/>
      <c r="C68" s="7"/>
      <c r="D68" s="5"/>
      <c r="E68" s="5"/>
      <c r="F68" s="5"/>
      <c r="G68" s="5"/>
    </row>
    <row r="69" spans="2:7" x14ac:dyDescent="0.25">
      <c r="B69" s="5"/>
      <c r="C69" s="7"/>
      <c r="D69" s="5"/>
      <c r="E69" s="5"/>
      <c r="F69" s="5"/>
      <c r="G69" s="5"/>
    </row>
    <row r="70" spans="2:7" x14ac:dyDescent="0.25">
      <c r="B70" s="5"/>
      <c r="C70" s="7"/>
      <c r="D70" s="5"/>
      <c r="E70" s="5"/>
      <c r="F70" s="5"/>
      <c r="G70" s="5"/>
    </row>
    <row r="71" spans="2:7" x14ac:dyDescent="0.25">
      <c r="B71" s="5"/>
      <c r="C71" s="7"/>
      <c r="D71" s="5"/>
      <c r="E71" s="5"/>
      <c r="F71" s="5"/>
      <c r="G71" s="5"/>
    </row>
    <row r="72" spans="2:7" x14ac:dyDescent="0.25">
      <c r="B72" s="5"/>
      <c r="C72" s="7"/>
      <c r="D72" s="5"/>
      <c r="E72" s="5"/>
      <c r="F72" s="5"/>
      <c r="G72" s="5"/>
    </row>
    <row r="73" spans="2:7" x14ac:dyDescent="0.25">
      <c r="B73" s="5"/>
      <c r="C73" s="7"/>
      <c r="D73" s="5"/>
      <c r="E73" s="5"/>
      <c r="F73" s="5"/>
      <c r="G73" s="5"/>
    </row>
    <row r="74" spans="2:7" x14ac:dyDescent="0.25">
      <c r="B74" s="5"/>
      <c r="C74" s="7"/>
      <c r="D74" s="5"/>
      <c r="E74" s="5"/>
      <c r="F74" s="5"/>
      <c r="G74" s="5"/>
    </row>
    <row r="75" spans="2:7" x14ac:dyDescent="0.25">
      <c r="B75" s="5"/>
      <c r="C75" s="7"/>
      <c r="D75" s="5"/>
      <c r="E75" s="5"/>
      <c r="F75" s="5"/>
      <c r="G75" s="5"/>
    </row>
    <row r="76" spans="2:7" x14ac:dyDescent="0.25">
      <c r="B76" s="5"/>
      <c r="C76" s="7"/>
      <c r="D76" s="5"/>
      <c r="E76" s="5"/>
      <c r="F76" s="5"/>
      <c r="G76" s="5"/>
    </row>
    <row r="77" spans="2:7" x14ac:dyDescent="0.25">
      <c r="B77" s="5"/>
      <c r="C77" s="7"/>
      <c r="D77" s="5"/>
      <c r="E77" s="5"/>
      <c r="F77" s="5"/>
      <c r="G77" s="5"/>
    </row>
    <row r="78" spans="2:7" x14ac:dyDescent="0.25">
      <c r="B78" s="5"/>
      <c r="C78" s="7"/>
      <c r="D78" s="5"/>
      <c r="E78" s="5"/>
      <c r="F78" s="5"/>
      <c r="G78" s="5"/>
    </row>
    <row r="79" spans="2:7" x14ac:dyDescent="0.25">
      <c r="B79" s="5"/>
      <c r="C79" s="7"/>
      <c r="D79" s="5"/>
      <c r="E79" s="5"/>
      <c r="F79" s="5"/>
      <c r="G79" s="5"/>
    </row>
    <row r="80" spans="2:7" x14ac:dyDescent="0.25">
      <c r="B80" s="5"/>
      <c r="C80" s="7"/>
      <c r="D80" s="5"/>
      <c r="E80" s="5"/>
      <c r="F80" s="5"/>
      <c r="G80" s="5"/>
    </row>
    <row r="81" spans="2:7" x14ac:dyDescent="0.25">
      <c r="B81" s="5"/>
      <c r="C81" s="7"/>
      <c r="D81" s="5"/>
      <c r="E81" s="5"/>
      <c r="F81" s="5"/>
      <c r="G81" s="5"/>
    </row>
    <row r="82" spans="2:7" x14ac:dyDescent="0.25">
      <c r="B82" s="5"/>
      <c r="C82" s="7"/>
      <c r="D82" s="5"/>
      <c r="E82" s="5"/>
      <c r="F82" s="5"/>
      <c r="G82" s="5"/>
    </row>
    <row r="83" spans="2:7" x14ac:dyDescent="0.25">
      <c r="B83" s="5"/>
      <c r="C83" s="7"/>
      <c r="D83" s="5"/>
      <c r="E83" s="5"/>
      <c r="F83" s="5"/>
      <c r="G83" s="5"/>
    </row>
    <row r="84" spans="2:7" x14ac:dyDescent="0.25">
      <c r="B84" s="5"/>
      <c r="C84" s="7"/>
      <c r="D84" s="5"/>
      <c r="E84" s="5"/>
      <c r="F84" s="5"/>
      <c r="G84" s="5"/>
    </row>
    <row r="85" spans="2:7" x14ac:dyDescent="0.25">
      <c r="B85" s="5"/>
      <c r="C85" s="7"/>
      <c r="D85" s="5"/>
      <c r="E85" s="5"/>
      <c r="F85" s="5"/>
      <c r="G85" s="5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'2022'!$B$3:$B$19</xm:f>
          </x14:formula1>
          <xm:sqref>A2:A85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M69"/>
  <sheetViews>
    <sheetView workbookViewId="0">
      <selection activeCell="D12" sqref="D12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7.85546875" bestFit="1" customWidth="1"/>
    <col min="5" max="5" width="9.42578125" bestFit="1" customWidth="1"/>
    <col min="6" max="6" width="9.85546875" bestFit="1" customWidth="1"/>
    <col min="7" max="7" width="21.42578125" bestFit="1" customWidth="1"/>
    <col min="8" max="8" width="1.42578125" customWidth="1"/>
    <col min="9" max="9" width="13.85546875" bestFit="1" customWidth="1"/>
    <col min="10" max="10" width="10.85546875" bestFit="1" customWidth="1"/>
    <col min="12" max="12" width="10.7109375" bestFit="1" customWidth="1"/>
  </cols>
  <sheetData>
    <row r="1" spans="1:13" s="9" customFormat="1" x14ac:dyDescent="0.25">
      <c r="A1" s="9" t="s">
        <v>0</v>
      </c>
      <c r="B1" s="9" t="s">
        <v>23</v>
      </c>
      <c r="C1" s="10" t="s">
        <v>24</v>
      </c>
      <c r="D1" s="9" t="s">
        <v>36</v>
      </c>
      <c r="E1" s="9" t="s">
        <v>35</v>
      </c>
      <c r="F1" s="9" t="s">
        <v>34</v>
      </c>
      <c r="G1" s="9" t="s">
        <v>33</v>
      </c>
      <c r="I1" s="9" t="s">
        <v>0</v>
      </c>
      <c r="J1" s="9" t="s">
        <v>18</v>
      </c>
    </row>
    <row r="2" spans="1:13" x14ac:dyDescent="0.25">
      <c r="B2" s="5"/>
      <c r="C2" s="7"/>
      <c r="D2" s="5"/>
      <c r="E2" s="5"/>
      <c r="F2" s="5"/>
      <c r="G2" s="5"/>
      <c r="I2" t="s">
        <v>1</v>
      </c>
      <c r="J2" s="5">
        <f>SUMIF(tblJaneiro121416182022[Categoria],Tabela3131517192123[[#This Row],[Categoria]],tblJaneiro121416182022[Valor])</f>
        <v>0</v>
      </c>
      <c r="L2" s="13">
        <v>43647</v>
      </c>
      <c r="M2">
        <v>4.5</v>
      </c>
    </row>
    <row r="3" spans="1:13" x14ac:dyDescent="0.25">
      <c r="B3" s="5"/>
      <c r="C3" s="7"/>
      <c r="D3" s="5"/>
      <c r="E3" s="5"/>
      <c r="F3" s="5"/>
      <c r="G3" s="5"/>
      <c r="I3" t="s">
        <v>2</v>
      </c>
      <c r="J3" s="5">
        <f>SUMIF(tblJaneiro121416182022[Categoria],Tabela3131517192123[[#This Row],[Categoria]],tblJaneiro121416182022[Valor])</f>
        <v>0</v>
      </c>
      <c r="L3" s="13">
        <v>43648</v>
      </c>
      <c r="M3">
        <v>4.5</v>
      </c>
    </row>
    <row r="4" spans="1:13" x14ac:dyDescent="0.25">
      <c r="B4" s="5"/>
      <c r="C4" s="7"/>
      <c r="D4" s="5"/>
      <c r="E4" s="5"/>
      <c r="F4" s="5"/>
      <c r="G4" s="5"/>
      <c r="I4" t="s">
        <v>25</v>
      </c>
      <c r="J4" s="5">
        <f>SUMIF(tblJaneiro121416182022[Categoria],Tabela3131517192123[[#This Row],[Categoria]],tblJaneiro121416182022[Valor])</f>
        <v>0</v>
      </c>
      <c r="L4" s="13">
        <v>43649</v>
      </c>
      <c r="M4">
        <v>4.5</v>
      </c>
    </row>
    <row r="5" spans="1:13" x14ac:dyDescent="0.25">
      <c r="B5" s="5"/>
      <c r="C5" s="7"/>
      <c r="D5" s="5"/>
      <c r="E5" s="5"/>
      <c r="F5" s="5"/>
      <c r="G5" s="5"/>
      <c r="I5" t="s">
        <v>26</v>
      </c>
      <c r="J5" s="5">
        <f>SUMIF(tblJaneiro121416182022[Categoria],Tabela3131517192123[[#This Row],[Categoria]],tblJaneiro121416182022[Valor])</f>
        <v>0</v>
      </c>
      <c r="L5" s="13">
        <v>43650</v>
      </c>
      <c r="M5">
        <v>4.5</v>
      </c>
    </row>
    <row r="6" spans="1:13" x14ac:dyDescent="0.25">
      <c r="B6" s="5"/>
      <c r="C6" s="7"/>
      <c r="D6" s="5"/>
      <c r="E6" s="5"/>
      <c r="F6" s="5"/>
      <c r="G6" s="5"/>
      <c r="I6" t="s">
        <v>27</v>
      </c>
      <c r="J6" s="5">
        <f>SUMIF(tblJaneiro121416182022[Categoria],Tabela3131517192123[[#This Row],[Categoria]],tblJaneiro121416182022[Valor])</f>
        <v>0</v>
      </c>
      <c r="L6" s="13">
        <v>43651</v>
      </c>
      <c r="M6">
        <v>4.5</v>
      </c>
    </row>
    <row r="7" spans="1:13" x14ac:dyDescent="0.25">
      <c r="B7" s="5"/>
      <c r="C7" s="7"/>
      <c r="D7" s="5"/>
      <c r="E7" s="5"/>
      <c r="F7" s="5"/>
      <c r="G7" s="5"/>
      <c r="I7" t="s">
        <v>28</v>
      </c>
      <c r="J7" s="5">
        <f>SUMIF(tblJaneiro121416182022[Categoria],Tabela3131517192123[[#This Row],[Categoria]],tblJaneiro121416182022[Valor])</f>
        <v>0</v>
      </c>
      <c r="L7" s="13">
        <v>43652</v>
      </c>
      <c r="M7">
        <v>4.5</v>
      </c>
    </row>
    <row r="8" spans="1:13" x14ac:dyDescent="0.25">
      <c r="B8" s="5"/>
      <c r="C8" s="7"/>
      <c r="D8" s="5"/>
      <c r="E8" s="5"/>
      <c r="F8" s="5"/>
      <c r="G8" s="5"/>
      <c r="I8" t="s">
        <v>29</v>
      </c>
      <c r="J8" s="5">
        <f>SUMIF(tblJaneiro121416182022[Categoria],Tabela3131517192123[[#This Row],[Categoria]],tblJaneiro121416182022[Valor])</f>
        <v>0</v>
      </c>
      <c r="L8" s="13">
        <v>43653</v>
      </c>
      <c r="M8">
        <v>4.5</v>
      </c>
    </row>
    <row r="9" spans="1:13" x14ac:dyDescent="0.25">
      <c r="B9" s="5"/>
      <c r="C9" s="7"/>
      <c r="D9" s="5"/>
      <c r="E9" s="5"/>
      <c r="F9" s="5"/>
      <c r="G9" s="5"/>
      <c r="I9" t="s">
        <v>30</v>
      </c>
      <c r="J9" s="5">
        <f>SUMIF(tblJaneiro121416182022[Categoria],Tabela3131517192123[[#This Row],[Categoria]],tblJaneiro121416182022[Valor])</f>
        <v>0</v>
      </c>
      <c r="L9" s="13">
        <v>43654</v>
      </c>
      <c r="M9">
        <v>4.5</v>
      </c>
    </row>
    <row r="10" spans="1:13" x14ac:dyDescent="0.25">
      <c r="B10" s="5"/>
      <c r="C10" s="7"/>
      <c r="D10" s="5"/>
      <c r="E10" s="5"/>
      <c r="F10" s="5"/>
      <c r="G10" s="5"/>
      <c r="I10" t="s">
        <v>19</v>
      </c>
      <c r="J10" s="5">
        <f>SUMIF(tblJaneiro121416182022[Categoria],Tabela3131517192123[[#This Row],[Categoria]],tblJaneiro121416182022[Valor])</f>
        <v>0</v>
      </c>
      <c r="L10" s="13">
        <v>43655</v>
      </c>
      <c r="M10">
        <v>4.5</v>
      </c>
    </row>
    <row r="11" spans="1:13" x14ac:dyDescent="0.25">
      <c r="B11" s="5"/>
      <c r="C11" s="7"/>
      <c r="D11" s="5"/>
      <c r="E11" s="5"/>
      <c r="F11" s="5"/>
      <c r="G11" s="5"/>
      <c r="I11" t="s">
        <v>32</v>
      </c>
      <c r="J11" s="5">
        <f>SUMIF(tblJaneiro121416182022[Categoria],Tabela3131517192123[[#This Row],[Categoria]],tblJaneiro121416182022[Valor])</f>
        <v>0</v>
      </c>
      <c r="L11" s="13">
        <v>43656</v>
      </c>
      <c r="M11">
        <v>4.5</v>
      </c>
    </row>
    <row r="12" spans="1:13" x14ac:dyDescent="0.25">
      <c r="B12" s="5"/>
      <c r="C12" s="7"/>
      <c r="D12" s="5"/>
      <c r="E12" s="5"/>
      <c r="F12" s="5"/>
      <c r="G12" s="5"/>
      <c r="I12" t="s">
        <v>31</v>
      </c>
      <c r="J12" s="5">
        <f>SUMIF(tblJaneiro121416182022[Categoria],Tabela3131517192123[[#This Row],[Categoria]],tblJaneiro121416182022[Valor])</f>
        <v>0</v>
      </c>
      <c r="L12" s="13">
        <v>43657</v>
      </c>
      <c r="M12">
        <v>4.5</v>
      </c>
    </row>
    <row r="13" spans="1:13" x14ac:dyDescent="0.25">
      <c r="B13" s="5"/>
      <c r="C13" s="7"/>
      <c r="D13" s="5"/>
      <c r="E13" s="5"/>
      <c r="F13" s="5"/>
      <c r="G13" s="5"/>
      <c r="I13" t="s">
        <v>37</v>
      </c>
      <c r="J13" s="5">
        <f>SUMIF(tblJaneiro121416182022[Categoria],Tabela3131517192123[[#This Row],[Categoria]],tblJaneiro121416182022[Valor])</f>
        <v>0</v>
      </c>
      <c r="L13" s="13">
        <v>43658</v>
      </c>
      <c r="M13">
        <v>4.5</v>
      </c>
    </row>
    <row r="14" spans="1:13" x14ac:dyDescent="0.25">
      <c r="B14" s="5"/>
      <c r="C14" s="7"/>
      <c r="D14" s="5"/>
      <c r="E14" s="5"/>
      <c r="F14" s="5"/>
      <c r="G14" s="5"/>
      <c r="I14" t="s">
        <v>38</v>
      </c>
      <c r="J14" s="5">
        <f>SUMIF(tblJaneiro121416182022[Categoria],Tabela3131517192123[[#This Row],[Categoria]],tblJaneiro121416182022[Valor])</f>
        <v>0</v>
      </c>
      <c r="L14" s="13">
        <v>43659</v>
      </c>
      <c r="M14">
        <v>4.5</v>
      </c>
    </row>
    <row r="15" spans="1:13" x14ac:dyDescent="0.25">
      <c r="B15" s="5"/>
      <c r="C15" s="7"/>
      <c r="D15" s="5"/>
      <c r="E15" s="5"/>
      <c r="F15" s="5"/>
      <c r="G15" s="5"/>
      <c r="I15" t="s">
        <v>39</v>
      </c>
      <c r="J15" s="5">
        <f>SUMIF(tblJaneiro121416182022[Categoria],Tabela3131517192123[[#This Row],[Categoria]],tblJaneiro121416182022[Valor])</f>
        <v>0</v>
      </c>
      <c r="L15" s="13">
        <v>43660</v>
      </c>
      <c r="M15">
        <v>4.5</v>
      </c>
    </row>
    <row r="16" spans="1:13" x14ac:dyDescent="0.25">
      <c r="B16" s="5"/>
      <c r="C16" s="7"/>
      <c r="D16" s="5"/>
      <c r="E16" s="5"/>
      <c r="F16" s="5"/>
      <c r="G16" s="5"/>
      <c r="I16" t="s">
        <v>40</v>
      </c>
      <c r="J16" s="5">
        <f>SUMIF(tblJaneiro121416182022[Categoria],Tabela3131517192123[[#This Row],[Categoria]],tblJaneiro121416182022[Valor])</f>
        <v>0</v>
      </c>
      <c r="L16" s="13">
        <v>43661</v>
      </c>
      <c r="M16">
        <v>4.5</v>
      </c>
    </row>
    <row r="17" spans="2:13" x14ac:dyDescent="0.25">
      <c r="B17" s="5"/>
      <c r="C17" s="7"/>
      <c r="D17" s="5"/>
      <c r="E17" s="5"/>
      <c r="F17" s="5"/>
      <c r="G17" s="5"/>
      <c r="I17" t="s">
        <v>41</v>
      </c>
      <c r="J17" s="5">
        <f>SUMIF(tblJaneiro121416182022[Categoria],Tabela3131517192123[[#This Row],[Categoria]],tblJaneiro121416182022[Valor])</f>
        <v>0</v>
      </c>
      <c r="L17" s="13">
        <v>43662</v>
      </c>
      <c r="M17">
        <v>4.5</v>
      </c>
    </row>
    <row r="18" spans="2:13" x14ac:dyDescent="0.25">
      <c r="B18" s="5"/>
      <c r="C18" s="7"/>
      <c r="D18" s="5"/>
      <c r="E18" s="5"/>
      <c r="F18" s="5"/>
      <c r="G18" s="5"/>
      <c r="I18" t="s">
        <v>42</v>
      </c>
      <c r="J18" s="5">
        <f>SUMIF(tblJaneiro121416182022[Categoria],Tabela3131517192123[[#This Row],[Categoria]],tblJaneiro121416182022[Valor])</f>
        <v>0</v>
      </c>
      <c r="L18" s="13">
        <v>43663</v>
      </c>
      <c r="M18">
        <v>4.5</v>
      </c>
    </row>
    <row r="19" spans="2:13" x14ac:dyDescent="0.25">
      <c r="B19" s="5"/>
      <c r="C19" s="7"/>
      <c r="D19" s="5"/>
      <c r="E19" s="5"/>
      <c r="F19" s="5"/>
      <c r="G19" s="5"/>
      <c r="I19" t="s">
        <v>18</v>
      </c>
      <c r="J19" s="12">
        <f>SUBTOTAL(109,Tabela3131517192123[Total])</f>
        <v>0</v>
      </c>
      <c r="L19" s="13">
        <v>43664</v>
      </c>
      <c r="M19">
        <v>4.5</v>
      </c>
    </row>
    <row r="20" spans="2:13" x14ac:dyDescent="0.25">
      <c r="B20" s="5"/>
      <c r="C20" s="7"/>
      <c r="D20" s="5"/>
      <c r="E20" s="5"/>
      <c r="F20" s="5"/>
      <c r="G20" s="5"/>
      <c r="L20" s="13">
        <v>43665</v>
      </c>
      <c r="M20">
        <v>4.5</v>
      </c>
    </row>
    <row r="21" spans="2:13" x14ac:dyDescent="0.25">
      <c r="B21" s="5"/>
      <c r="C21" s="7"/>
      <c r="D21" s="5"/>
      <c r="E21" s="5"/>
      <c r="F21" s="5"/>
      <c r="G21" s="5"/>
      <c r="L21" s="13">
        <v>43666</v>
      </c>
      <c r="M21">
        <v>4.5</v>
      </c>
    </row>
    <row r="22" spans="2:13" x14ac:dyDescent="0.25">
      <c r="B22" s="5"/>
      <c r="C22" s="7"/>
      <c r="D22" s="5"/>
      <c r="E22" s="5"/>
      <c r="F22" s="5"/>
      <c r="G22" s="5"/>
      <c r="L22" s="13">
        <v>43667</v>
      </c>
      <c r="M22">
        <v>4.5</v>
      </c>
    </row>
    <row r="23" spans="2:13" x14ac:dyDescent="0.25">
      <c r="B23" s="5"/>
      <c r="C23" s="7"/>
      <c r="D23" s="5"/>
      <c r="E23" s="5"/>
      <c r="F23" s="5"/>
      <c r="G23" s="5"/>
      <c r="L23" s="13">
        <v>43668</v>
      </c>
      <c r="M23">
        <v>4.5</v>
      </c>
    </row>
    <row r="24" spans="2:13" x14ac:dyDescent="0.25">
      <c r="B24" s="5"/>
      <c r="C24" s="7"/>
      <c r="D24" s="5"/>
      <c r="E24" s="5"/>
      <c r="F24" s="5"/>
      <c r="G24" s="5"/>
      <c r="L24" s="13">
        <v>43669</v>
      </c>
      <c r="M24">
        <v>4.5</v>
      </c>
    </row>
    <row r="25" spans="2:13" x14ac:dyDescent="0.25">
      <c r="B25" s="5"/>
      <c r="C25" s="7"/>
      <c r="D25" s="5"/>
      <c r="E25" s="5"/>
      <c r="F25" s="5"/>
      <c r="G25" s="5"/>
      <c r="L25" s="13">
        <v>43670</v>
      </c>
      <c r="M25">
        <v>4.5</v>
      </c>
    </row>
    <row r="26" spans="2:13" x14ac:dyDescent="0.25">
      <c r="B26" s="5"/>
      <c r="C26" s="7"/>
      <c r="D26" s="5"/>
      <c r="E26" s="5"/>
      <c r="F26" s="5"/>
      <c r="G26" s="5"/>
      <c r="L26" s="13">
        <v>43671</v>
      </c>
      <c r="M26">
        <v>4.5</v>
      </c>
    </row>
    <row r="27" spans="2:13" x14ac:dyDescent="0.25">
      <c r="B27" s="5"/>
      <c r="C27" s="7"/>
      <c r="D27" s="5"/>
      <c r="E27" s="5"/>
      <c r="F27" s="5"/>
      <c r="G27" s="5"/>
      <c r="L27" s="13">
        <v>43672</v>
      </c>
      <c r="M27">
        <v>4.5</v>
      </c>
    </row>
    <row r="28" spans="2:13" x14ac:dyDescent="0.25">
      <c r="B28" s="5"/>
      <c r="C28" s="7"/>
      <c r="D28" s="5"/>
      <c r="E28" s="5"/>
      <c r="F28" s="5"/>
      <c r="G28" s="5"/>
      <c r="L28" s="13">
        <v>43673</v>
      </c>
      <c r="M28">
        <v>4.5</v>
      </c>
    </row>
    <row r="29" spans="2:13" x14ac:dyDescent="0.25">
      <c r="B29" s="5"/>
      <c r="C29" s="7"/>
      <c r="D29" s="5"/>
      <c r="E29" s="5"/>
      <c r="F29" s="5"/>
      <c r="G29" s="5"/>
      <c r="L29" s="13">
        <v>43674</v>
      </c>
      <c r="M29">
        <v>4.5</v>
      </c>
    </row>
    <row r="30" spans="2:13" x14ac:dyDescent="0.25">
      <c r="B30" s="5"/>
      <c r="C30" s="7"/>
      <c r="D30" s="5"/>
      <c r="E30" s="5"/>
      <c r="F30" s="5"/>
      <c r="G30" s="5"/>
      <c r="L30" s="13">
        <v>43675</v>
      </c>
      <c r="M30">
        <v>4.5</v>
      </c>
    </row>
    <row r="31" spans="2:13" x14ac:dyDescent="0.25">
      <c r="B31" s="5"/>
      <c r="C31" s="7"/>
      <c r="D31" s="5"/>
      <c r="E31" s="5"/>
      <c r="F31" s="5"/>
      <c r="G31" s="5"/>
      <c r="L31" s="13">
        <v>43676</v>
      </c>
      <c r="M31">
        <v>4.5</v>
      </c>
    </row>
    <row r="32" spans="2:13" x14ac:dyDescent="0.25">
      <c r="B32" s="5"/>
      <c r="C32" s="7"/>
      <c r="D32" s="5"/>
      <c r="E32" s="5"/>
      <c r="F32" s="5"/>
      <c r="G32" s="5"/>
      <c r="L32" s="13">
        <v>43677</v>
      </c>
      <c r="M32">
        <v>4.5</v>
      </c>
    </row>
    <row r="33" spans="2:13" x14ac:dyDescent="0.25">
      <c r="B33" s="5"/>
      <c r="C33" s="7"/>
      <c r="D33" s="5"/>
      <c r="E33" s="5"/>
      <c r="F33" s="5"/>
      <c r="G33" s="5"/>
      <c r="M33">
        <f>SUM(M2:M32)</f>
        <v>139.5</v>
      </c>
    </row>
    <row r="34" spans="2:13" x14ac:dyDescent="0.25">
      <c r="B34" s="11"/>
      <c r="C34" s="7"/>
      <c r="D34" s="7"/>
      <c r="E34" s="5"/>
      <c r="F34" s="5"/>
      <c r="G34" s="5"/>
    </row>
    <row r="35" spans="2:13" x14ac:dyDescent="0.25">
      <c r="B35" s="5"/>
      <c r="C35" s="7"/>
      <c r="D35" s="7"/>
      <c r="E35" s="5"/>
      <c r="F35" s="5"/>
      <c r="G35" s="5"/>
    </row>
    <row r="36" spans="2:13" x14ac:dyDescent="0.25">
      <c r="B36" s="5"/>
      <c r="C36" s="7"/>
      <c r="D36" s="5"/>
      <c r="E36" s="5"/>
      <c r="F36" s="5"/>
      <c r="G36" s="5"/>
    </row>
    <row r="37" spans="2:13" x14ac:dyDescent="0.25">
      <c r="B37" s="5"/>
      <c r="C37" s="7"/>
      <c r="D37" s="5"/>
      <c r="E37" s="5"/>
      <c r="F37" s="5"/>
      <c r="G37" s="5"/>
    </row>
    <row r="38" spans="2:13" x14ac:dyDescent="0.25">
      <c r="B38" s="5"/>
      <c r="C38" s="7"/>
      <c r="D38" s="5"/>
      <c r="E38" s="5"/>
      <c r="F38" s="5"/>
      <c r="G38" s="5"/>
    </row>
    <row r="39" spans="2:13" x14ac:dyDescent="0.25">
      <c r="B39" s="5"/>
      <c r="C39" s="7"/>
      <c r="D39" s="5"/>
      <c r="E39" s="5"/>
      <c r="F39" s="5"/>
      <c r="G39" s="5"/>
    </row>
    <row r="40" spans="2:13" x14ac:dyDescent="0.25">
      <c r="B40" s="5"/>
      <c r="C40" s="7"/>
      <c r="D40" s="5"/>
      <c r="E40" s="5"/>
      <c r="F40" s="5"/>
      <c r="G40" s="5"/>
    </row>
    <row r="41" spans="2:13" x14ac:dyDescent="0.25">
      <c r="B41" s="5"/>
      <c r="C41" s="7"/>
      <c r="D41" s="5"/>
      <c r="E41" s="5"/>
      <c r="F41" s="5"/>
      <c r="G41" s="5"/>
    </row>
    <row r="42" spans="2:13" x14ac:dyDescent="0.25">
      <c r="B42" s="5"/>
      <c r="C42" s="7"/>
      <c r="D42" s="5"/>
      <c r="E42" s="5"/>
      <c r="F42" s="5"/>
      <c r="G42" s="5"/>
    </row>
    <row r="43" spans="2:13" x14ac:dyDescent="0.25">
      <c r="B43" s="5"/>
      <c r="C43" s="7"/>
      <c r="D43" s="5"/>
      <c r="E43" s="5"/>
      <c r="F43" s="5"/>
      <c r="G43" s="5"/>
    </row>
    <row r="44" spans="2:13" x14ac:dyDescent="0.25">
      <c r="B44" s="5"/>
      <c r="C44" s="7"/>
      <c r="D44" s="5"/>
      <c r="E44" s="5"/>
      <c r="F44" s="5"/>
      <c r="G44" s="5"/>
    </row>
    <row r="45" spans="2:13" x14ac:dyDescent="0.25">
      <c r="B45" s="5"/>
      <c r="C45" s="7"/>
      <c r="D45" s="5"/>
      <c r="E45" s="5"/>
      <c r="F45" s="5"/>
      <c r="G45" s="5"/>
    </row>
    <row r="46" spans="2:13" x14ac:dyDescent="0.25">
      <c r="B46" s="5"/>
      <c r="C46" s="7"/>
      <c r="D46" s="5"/>
      <c r="E46" s="5"/>
      <c r="F46" s="5"/>
      <c r="G46" s="5"/>
    </row>
    <row r="47" spans="2:13" x14ac:dyDescent="0.25">
      <c r="B47" s="5"/>
      <c r="C47" s="7"/>
      <c r="D47" s="5"/>
      <c r="E47" s="5"/>
      <c r="F47" s="5"/>
      <c r="G47" s="5"/>
    </row>
    <row r="48" spans="2:13" x14ac:dyDescent="0.25">
      <c r="B48" s="5"/>
      <c r="C48" s="7"/>
      <c r="D48" s="5"/>
      <c r="E48" s="5"/>
      <c r="F48" s="5"/>
      <c r="G48" s="5"/>
    </row>
    <row r="49" spans="2:7" x14ac:dyDescent="0.25">
      <c r="B49" s="5"/>
      <c r="C49" s="7"/>
      <c r="D49" s="5"/>
      <c r="E49" s="5"/>
      <c r="F49" s="5"/>
      <c r="G49" s="5"/>
    </row>
    <row r="50" spans="2:7" x14ac:dyDescent="0.25">
      <c r="B50" s="5"/>
      <c r="C50" s="7"/>
      <c r="D50" s="5"/>
      <c r="E50" s="5"/>
      <c r="F50" s="5"/>
      <c r="G50" s="5"/>
    </row>
    <row r="51" spans="2:7" x14ac:dyDescent="0.25">
      <c r="B51" s="5"/>
      <c r="C51" s="7"/>
      <c r="D51" s="5"/>
      <c r="E51" s="5"/>
      <c r="F51" s="5"/>
      <c r="G51" s="5"/>
    </row>
    <row r="52" spans="2:7" x14ac:dyDescent="0.25">
      <c r="B52" s="5"/>
      <c r="C52" s="7"/>
      <c r="D52" s="5"/>
      <c r="E52" s="5"/>
      <c r="F52" s="5"/>
      <c r="G52" s="5"/>
    </row>
    <row r="53" spans="2:7" x14ac:dyDescent="0.25">
      <c r="B53" s="5"/>
      <c r="C53" s="7"/>
      <c r="D53" s="5"/>
      <c r="E53" s="5"/>
      <c r="F53" s="5"/>
      <c r="G53" s="5"/>
    </row>
    <row r="54" spans="2:7" x14ac:dyDescent="0.25">
      <c r="B54" s="5"/>
      <c r="C54" s="7"/>
      <c r="D54" s="5"/>
      <c r="E54" s="5"/>
      <c r="F54" s="5"/>
      <c r="G54" s="5"/>
    </row>
    <row r="55" spans="2:7" x14ac:dyDescent="0.25">
      <c r="B55" s="5"/>
      <c r="C55" s="7"/>
      <c r="D55" s="5"/>
      <c r="E55" s="5"/>
      <c r="F55" s="5"/>
      <c r="G55" s="5"/>
    </row>
    <row r="56" spans="2:7" x14ac:dyDescent="0.25">
      <c r="B56" s="5"/>
      <c r="C56" s="7"/>
      <c r="D56" s="5"/>
      <c r="E56" s="5"/>
      <c r="F56" s="5"/>
      <c r="G56" s="5"/>
    </row>
    <row r="57" spans="2:7" x14ac:dyDescent="0.25">
      <c r="B57" s="5"/>
      <c r="C57" s="7"/>
      <c r="D57" s="5"/>
      <c r="E57" s="5"/>
      <c r="F57" s="5"/>
      <c r="G57" s="5"/>
    </row>
    <row r="58" spans="2:7" x14ac:dyDescent="0.25">
      <c r="B58" s="5"/>
      <c r="C58" s="7"/>
      <c r="D58" s="5"/>
      <c r="E58" s="5"/>
      <c r="F58" s="5"/>
      <c r="G58" s="5"/>
    </row>
    <row r="59" spans="2:7" x14ac:dyDescent="0.25">
      <c r="B59" s="5"/>
      <c r="C59" s="7"/>
      <c r="D59" s="5"/>
      <c r="E59" s="5"/>
      <c r="F59" s="5"/>
      <c r="G59" s="5"/>
    </row>
    <row r="60" spans="2:7" x14ac:dyDescent="0.25">
      <c r="B60" s="5"/>
      <c r="C60" s="7"/>
      <c r="D60" s="5"/>
      <c r="E60" s="5"/>
      <c r="F60" s="5"/>
      <c r="G60" s="5"/>
    </row>
    <row r="61" spans="2:7" x14ac:dyDescent="0.25">
      <c r="B61" s="5"/>
      <c r="C61" s="7"/>
      <c r="D61" s="5"/>
      <c r="E61" s="5"/>
      <c r="F61" s="5"/>
      <c r="G61" s="5"/>
    </row>
    <row r="62" spans="2:7" x14ac:dyDescent="0.25">
      <c r="B62" s="5"/>
      <c r="C62" s="7"/>
      <c r="D62" s="5"/>
      <c r="E62" s="5"/>
      <c r="F62" s="5"/>
      <c r="G62" s="5"/>
    </row>
    <row r="63" spans="2:7" x14ac:dyDescent="0.25">
      <c r="B63" s="5"/>
      <c r="C63" s="7"/>
      <c r="D63" s="5"/>
      <c r="E63" s="5"/>
      <c r="F63" s="5"/>
      <c r="G63" s="5"/>
    </row>
    <row r="64" spans="2:7" x14ac:dyDescent="0.25">
      <c r="B64" s="5"/>
      <c r="C64" s="7"/>
      <c r="D64" s="5"/>
      <c r="E64" s="5"/>
      <c r="F64" s="5"/>
      <c r="G64" s="5"/>
    </row>
    <row r="65" spans="2:7" x14ac:dyDescent="0.25">
      <c r="B65" s="5"/>
      <c r="C65" s="7"/>
      <c r="D65" s="5"/>
      <c r="E65" s="5"/>
      <c r="F65" s="5"/>
      <c r="G65" s="5"/>
    </row>
    <row r="66" spans="2:7" x14ac:dyDescent="0.25">
      <c r="B66" s="5"/>
      <c r="C66" s="7"/>
      <c r="D66" s="5"/>
      <c r="E66" s="5"/>
      <c r="F66" s="5"/>
      <c r="G66" s="5"/>
    </row>
    <row r="67" spans="2:7" x14ac:dyDescent="0.25">
      <c r="B67" s="5"/>
      <c r="C67" s="7"/>
      <c r="D67" s="5"/>
      <c r="E67" s="5"/>
      <c r="F67" s="5"/>
      <c r="G67" s="5"/>
    </row>
    <row r="68" spans="2:7" x14ac:dyDescent="0.25">
      <c r="B68" s="5"/>
      <c r="C68" s="7"/>
      <c r="D68" s="5"/>
      <c r="E68" s="5"/>
      <c r="F68" s="5"/>
      <c r="G68" s="5"/>
    </row>
    <row r="69" spans="2:7" x14ac:dyDescent="0.25">
      <c r="B69" s="5"/>
      <c r="C69" s="7"/>
      <c r="D69" s="5"/>
      <c r="E69" s="5"/>
      <c r="F69" s="5"/>
      <c r="G69" s="5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'2022'!$B$3:$B$19</xm:f>
          </x14:formula1>
          <xm:sqref>A2:A69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M73"/>
  <sheetViews>
    <sheetView workbookViewId="0">
      <selection activeCell="D13" sqref="D13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8.140625" bestFit="1" customWidth="1"/>
    <col min="5" max="5" width="9.42578125" bestFit="1" customWidth="1"/>
    <col min="6" max="6" width="9.85546875" bestFit="1" customWidth="1"/>
    <col min="7" max="7" width="21.42578125" bestFit="1" customWidth="1"/>
    <col min="8" max="8" width="1.42578125" customWidth="1"/>
    <col min="9" max="9" width="13.85546875" bestFit="1" customWidth="1"/>
    <col min="10" max="10" width="10.85546875" bestFit="1" customWidth="1"/>
    <col min="12" max="12" width="10.7109375" bestFit="1" customWidth="1"/>
  </cols>
  <sheetData>
    <row r="1" spans="1:13" s="9" customFormat="1" x14ac:dyDescent="0.25">
      <c r="A1" s="9" t="s">
        <v>0</v>
      </c>
      <c r="B1" s="9" t="s">
        <v>23</v>
      </c>
      <c r="C1" s="10" t="s">
        <v>24</v>
      </c>
      <c r="D1" s="9" t="s">
        <v>36</v>
      </c>
      <c r="E1" s="9" t="s">
        <v>35</v>
      </c>
      <c r="F1" s="9" t="s">
        <v>34</v>
      </c>
      <c r="G1" s="9" t="s">
        <v>33</v>
      </c>
      <c r="I1" s="9" t="s">
        <v>0</v>
      </c>
      <c r="J1" s="9" t="s">
        <v>18</v>
      </c>
    </row>
    <row r="2" spans="1:13" x14ac:dyDescent="0.25">
      <c r="B2" s="5"/>
      <c r="C2" s="7"/>
      <c r="D2" s="5"/>
      <c r="E2" s="5"/>
      <c r="F2" s="5"/>
      <c r="G2" s="5"/>
      <c r="I2" t="s">
        <v>1</v>
      </c>
      <c r="J2" s="5">
        <f>SUMIF(tblJaneiro1214161820226[Categoria],Tabela31315171921238[[#This Row],[Categoria]],tblJaneiro1214161820226[Valor])</f>
        <v>0</v>
      </c>
      <c r="L2" s="13">
        <v>43678</v>
      </c>
      <c r="M2">
        <v>4.5</v>
      </c>
    </row>
    <row r="3" spans="1:13" x14ac:dyDescent="0.25">
      <c r="B3" s="5"/>
      <c r="C3" s="7"/>
      <c r="D3" s="5"/>
      <c r="E3" s="5"/>
      <c r="F3" s="5"/>
      <c r="G3" s="5"/>
      <c r="I3" t="s">
        <v>2</v>
      </c>
      <c r="J3" s="5">
        <f>SUMIF(tblJaneiro1214161820226[Categoria],Tabela31315171921238[[#This Row],[Categoria]],tblJaneiro1214161820226[Valor])</f>
        <v>0</v>
      </c>
      <c r="L3" s="13">
        <v>43679</v>
      </c>
      <c r="M3">
        <v>4.5</v>
      </c>
    </row>
    <row r="4" spans="1:13" x14ac:dyDescent="0.25">
      <c r="B4" s="5"/>
      <c r="C4" s="7"/>
      <c r="D4" s="5"/>
      <c r="E4" s="5"/>
      <c r="F4" s="5"/>
      <c r="G4" s="5"/>
      <c r="I4" t="s">
        <v>25</v>
      </c>
      <c r="J4" s="5">
        <f>SUMIF(tblJaneiro1214161820226[Categoria],Tabela31315171921238[[#This Row],[Categoria]],tblJaneiro1214161820226[Valor])</f>
        <v>0</v>
      </c>
      <c r="L4" s="13">
        <v>43680</v>
      </c>
      <c r="M4">
        <v>4.5</v>
      </c>
    </row>
    <row r="5" spans="1:13" x14ac:dyDescent="0.25">
      <c r="B5" s="5"/>
      <c r="C5" s="7"/>
      <c r="D5" s="5"/>
      <c r="E5" s="5"/>
      <c r="F5" s="5"/>
      <c r="G5" s="5"/>
      <c r="I5" t="s">
        <v>26</v>
      </c>
      <c r="J5" s="5">
        <f>SUMIF(tblJaneiro1214161820226[Categoria],Tabela31315171921238[[#This Row],[Categoria]],tblJaneiro1214161820226[Valor])</f>
        <v>0</v>
      </c>
      <c r="L5" s="13">
        <v>43681</v>
      </c>
      <c r="M5">
        <v>4.5</v>
      </c>
    </row>
    <row r="6" spans="1:13" x14ac:dyDescent="0.25">
      <c r="B6" s="5"/>
      <c r="C6" s="7"/>
      <c r="D6" s="5"/>
      <c r="E6" s="5"/>
      <c r="F6" s="5"/>
      <c r="G6" s="5"/>
      <c r="I6" t="s">
        <v>27</v>
      </c>
      <c r="J6" s="5">
        <f>SUMIF(tblJaneiro1214161820226[Categoria],Tabela31315171921238[[#This Row],[Categoria]],tblJaneiro1214161820226[Valor])</f>
        <v>0</v>
      </c>
      <c r="L6" s="13">
        <v>43682</v>
      </c>
      <c r="M6">
        <v>4.5</v>
      </c>
    </row>
    <row r="7" spans="1:13" x14ac:dyDescent="0.25">
      <c r="B7" s="5"/>
      <c r="C7" s="7"/>
      <c r="D7" s="5"/>
      <c r="E7" s="5"/>
      <c r="F7" s="5"/>
      <c r="G7" s="5"/>
      <c r="I7" t="s">
        <v>28</v>
      </c>
      <c r="J7" s="5">
        <f>SUMIF(tblJaneiro1214161820226[Categoria],Tabela31315171921238[[#This Row],[Categoria]],tblJaneiro1214161820226[Valor])</f>
        <v>0</v>
      </c>
      <c r="L7" s="13">
        <v>43683</v>
      </c>
      <c r="M7">
        <v>4.5</v>
      </c>
    </row>
    <row r="8" spans="1:13" x14ac:dyDescent="0.25">
      <c r="B8" s="5"/>
      <c r="C8" s="7"/>
      <c r="D8" s="5"/>
      <c r="E8" s="5"/>
      <c r="F8" s="5"/>
      <c r="G8" s="5"/>
      <c r="I8" t="s">
        <v>29</v>
      </c>
      <c r="J8" s="5">
        <f>SUMIF(tblJaneiro1214161820226[Categoria],Tabela31315171921238[[#This Row],[Categoria]],tblJaneiro1214161820226[Valor])</f>
        <v>0</v>
      </c>
      <c r="L8" s="13">
        <v>43684</v>
      </c>
      <c r="M8">
        <v>4.5</v>
      </c>
    </row>
    <row r="9" spans="1:13" x14ac:dyDescent="0.25">
      <c r="B9" s="5"/>
      <c r="C9" s="7"/>
      <c r="D9" s="5"/>
      <c r="E9" s="5"/>
      <c r="F9" s="5"/>
      <c r="G9" s="5"/>
      <c r="I9" t="s">
        <v>30</v>
      </c>
      <c r="J9" s="5">
        <f>SUMIF(tblJaneiro1214161820226[Categoria],Tabela31315171921238[[#This Row],[Categoria]],tblJaneiro1214161820226[Valor])</f>
        <v>0</v>
      </c>
      <c r="L9" s="13">
        <v>43685</v>
      </c>
      <c r="M9">
        <v>4.5</v>
      </c>
    </row>
    <row r="10" spans="1:13" x14ac:dyDescent="0.25">
      <c r="B10" s="5"/>
      <c r="C10" s="7"/>
      <c r="D10" s="5"/>
      <c r="E10" s="5"/>
      <c r="F10" s="5"/>
      <c r="G10" s="5"/>
      <c r="I10" t="s">
        <v>19</v>
      </c>
      <c r="J10" s="5">
        <f>SUMIF(tblJaneiro1214161820226[Categoria],Tabela31315171921238[[#This Row],[Categoria]],tblJaneiro1214161820226[Valor])</f>
        <v>0</v>
      </c>
      <c r="L10" s="13">
        <v>43686</v>
      </c>
      <c r="M10">
        <v>4.5</v>
      </c>
    </row>
    <row r="11" spans="1:13" x14ac:dyDescent="0.25">
      <c r="B11" s="5"/>
      <c r="C11" s="7"/>
      <c r="D11" s="5"/>
      <c r="E11" s="5"/>
      <c r="F11" s="5"/>
      <c r="G11" s="5"/>
      <c r="I11" t="s">
        <v>32</v>
      </c>
      <c r="J11" s="5">
        <f>SUMIF(tblJaneiro1214161820226[Categoria],Tabela31315171921238[[#This Row],[Categoria]],tblJaneiro1214161820226[Valor])</f>
        <v>0</v>
      </c>
      <c r="L11" s="13">
        <v>43687</v>
      </c>
      <c r="M11">
        <v>4.5</v>
      </c>
    </row>
    <row r="12" spans="1:13" x14ac:dyDescent="0.25">
      <c r="B12" s="5"/>
      <c r="C12" s="7"/>
      <c r="D12" s="5"/>
      <c r="E12" s="5"/>
      <c r="F12" s="5"/>
      <c r="G12" s="5"/>
      <c r="I12" t="s">
        <v>31</v>
      </c>
      <c r="J12" s="5">
        <f>SUMIF(tblJaneiro1214161820226[Categoria],Tabela31315171921238[[#This Row],[Categoria]],tblJaneiro1214161820226[Valor])</f>
        <v>0</v>
      </c>
      <c r="L12" s="13">
        <v>43688</v>
      </c>
      <c r="M12">
        <v>4.5</v>
      </c>
    </row>
    <row r="13" spans="1:13" x14ac:dyDescent="0.25">
      <c r="B13" s="5"/>
      <c r="C13" s="7"/>
      <c r="D13" s="5"/>
      <c r="E13" s="5"/>
      <c r="F13" s="5"/>
      <c r="G13" s="5"/>
      <c r="I13" t="s">
        <v>37</v>
      </c>
      <c r="J13" s="5">
        <f>SUMIF(tblJaneiro1214161820226[Categoria],Tabela31315171921238[[#This Row],[Categoria]],tblJaneiro1214161820226[Valor])</f>
        <v>0</v>
      </c>
      <c r="L13" s="13">
        <v>43689</v>
      </c>
      <c r="M13">
        <v>4.5</v>
      </c>
    </row>
    <row r="14" spans="1:13" x14ac:dyDescent="0.25">
      <c r="B14" s="5"/>
      <c r="C14" s="7"/>
      <c r="D14" s="5"/>
      <c r="E14" s="5"/>
      <c r="F14" s="5"/>
      <c r="G14" s="5"/>
      <c r="I14" t="s">
        <v>38</v>
      </c>
      <c r="J14" s="5">
        <f>SUMIF(tblJaneiro1214161820226[Categoria],Tabela31315171921238[[#This Row],[Categoria]],tblJaneiro1214161820226[Valor])</f>
        <v>0</v>
      </c>
      <c r="L14" s="13">
        <v>43690</v>
      </c>
      <c r="M14">
        <v>4.5</v>
      </c>
    </row>
    <row r="15" spans="1:13" x14ac:dyDescent="0.25">
      <c r="B15" s="5"/>
      <c r="C15" s="7"/>
      <c r="D15" s="5"/>
      <c r="E15" s="5"/>
      <c r="F15" s="5"/>
      <c r="G15" s="5"/>
      <c r="I15" t="s">
        <v>39</v>
      </c>
      <c r="J15" s="5">
        <f>SUMIF(tblJaneiro1214161820226[Categoria],Tabela31315171921238[[#This Row],[Categoria]],tblJaneiro1214161820226[Valor])</f>
        <v>0</v>
      </c>
      <c r="L15" s="13">
        <v>43691</v>
      </c>
      <c r="M15">
        <v>4.5</v>
      </c>
    </row>
    <row r="16" spans="1:13" x14ac:dyDescent="0.25">
      <c r="B16" s="5"/>
      <c r="C16" s="7"/>
      <c r="D16" s="5"/>
      <c r="E16" s="5"/>
      <c r="F16" s="5"/>
      <c r="G16" s="5"/>
      <c r="I16" t="s">
        <v>40</v>
      </c>
      <c r="J16" s="5">
        <f>SUMIF(tblJaneiro1214161820226[Categoria],Tabela31315171921238[[#This Row],[Categoria]],tblJaneiro1214161820226[Valor])</f>
        <v>0</v>
      </c>
      <c r="L16" s="13">
        <v>43692</v>
      </c>
      <c r="M16">
        <v>4.5</v>
      </c>
    </row>
    <row r="17" spans="2:13" x14ac:dyDescent="0.25">
      <c r="B17" s="5"/>
      <c r="C17" s="7"/>
      <c r="D17" s="5"/>
      <c r="E17" s="5"/>
      <c r="F17" s="5"/>
      <c r="G17" s="5"/>
      <c r="I17" t="s">
        <v>41</v>
      </c>
      <c r="J17" s="5">
        <f>SUMIF(tblJaneiro1214161820226[Categoria],Tabela31315171921238[[#This Row],[Categoria]],tblJaneiro1214161820226[Valor])</f>
        <v>0</v>
      </c>
      <c r="L17" s="13">
        <v>43693</v>
      </c>
      <c r="M17">
        <v>4.5</v>
      </c>
    </row>
    <row r="18" spans="2:13" x14ac:dyDescent="0.25">
      <c r="B18" s="5"/>
      <c r="C18" s="7"/>
      <c r="D18" s="5"/>
      <c r="E18" s="5"/>
      <c r="F18" s="5"/>
      <c r="G18" s="5"/>
      <c r="I18" t="s">
        <v>42</v>
      </c>
      <c r="J18" s="5">
        <f>SUMIF(tblJaneiro1214161820226[Categoria],Tabela31315171921238[[#This Row],[Categoria]],tblJaneiro1214161820226[Valor])</f>
        <v>0</v>
      </c>
      <c r="L18" s="13">
        <v>43694</v>
      </c>
      <c r="M18">
        <v>4.5</v>
      </c>
    </row>
    <row r="19" spans="2:13" x14ac:dyDescent="0.25">
      <c r="B19" s="5"/>
      <c r="C19" s="7"/>
      <c r="D19" s="5"/>
      <c r="E19" s="5"/>
      <c r="F19" s="5"/>
      <c r="G19" s="5"/>
      <c r="I19" t="s">
        <v>18</v>
      </c>
      <c r="J19" s="12">
        <f>SUBTOTAL(109,Tabela31315171921238[Total])</f>
        <v>0</v>
      </c>
      <c r="L19" s="13">
        <v>43695</v>
      </c>
      <c r="M19">
        <v>4.5</v>
      </c>
    </row>
    <row r="20" spans="2:13" x14ac:dyDescent="0.25">
      <c r="B20" s="5"/>
      <c r="C20" s="7"/>
      <c r="D20" s="5"/>
      <c r="E20" s="5"/>
      <c r="F20" s="5"/>
      <c r="G20" s="5"/>
      <c r="L20" s="13">
        <v>43696</v>
      </c>
      <c r="M20">
        <v>4.5</v>
      </c>
    </row>
    <row r="21" spans="2:13" x14ac:dyDescent="0.25">
      <c r="B21" s="5"/>
      <c r="C21" s="7"/>
      <c r="D21" s="5"/>
      <c r="E21" s="5"/>
      <c r="F21" s="5"/>
      <c r="G21" s="5"/>
      <c r="L21" s="13">
        <v>43697</v>
      </c>
      <c r="M21">
        <v>4.5</v>
      </c>
    </row>
    <row r="22" spans="2:13" x14ac:dyDescent="0.25">
      <c r="B22" s="5"/>
      <c r="C22" s="7"/>
      <c r="D22" s="5"/>
      <c r="E22" s="5"/>
      <c r="F22" s="5"/>
      <c r="G22" s="5"/>
      <c r="L22" s="13">
        <v>43698</v>
      </c>
      <c r="M22">
        <v>4.5</v>
      </c>
    </row>
    <row r="23" spans="2:13" x14ac:dyDescent="0.25">
      <c r="B23" s="5"/>
      <c r="C23" s="7"/>
      <c r="D23" s="5"/>
      <c r="E23" s="5"/>
      <c r="F23" s="5"/>
      <c r="G23" s="5"/>
      <c r="L23" s="13">
        <v>43699</v>
      </c>
      <c r="M23">
        <v>4.5</v>
      </c>
    </row>
    <row r="24" spans="2:13" x14ac:dyDescent="0.25">
      <c r="B24" s="5"/>
      <c r="C24" s="7"/>
      <c r="D24" s="5"/>
      <c r="E24" s="5"/>
      <c r="F24" s="5"/>
      <c r="G24" s="5"/>
      <c r="L24" s="13">
        <v>43700</v>
      </c>
      <c r="M24">
        <v>4.5</v>
      </c>
    </row>
    <row r="25" spans="2:13" x14ac:dyDescent="0.25">
      <c r="B25" s="5"/>
      <c r="C25" s="7"/>
      <c r="D25" s="5"/>
      <c r="E25" s="5"/>
      <c r="F25" s="5"/>
      <c r="G25" s="5"/>
      <c r="L25" s="13">
        <v>43701</v>
      </c>
      <c r="M25">
        <v>4.5</v>
      </c>
    </row>
    <row r="26" spans="2:13" x14ac:dyDescent="0.25">
      <c r="B26" s="5"/>
      <c r="C26" s="7"/>
      <c r="D26" s="5"/>
      <c r="E26" s="5"/>
      <c r="F26" s="5"/>
      <c r="G26" s="5"/>
      <c r="L26" s="13">
        <v>43702</v>
      </c>
      <c r="M26">
        <v>4.5</v>
      </c>
    </row>
    <row r="27" spans="2:13" x14ac:dyDescent="0.25">
      <c r="B27" s="5"/>
      <c r="C27" s="7"/>
      <c r="D27" s="5"/>
      <c r="E27" s="5"/>
      <c r="F27" s="5"/>
      <c r="G27" s="5"/>
      <c r="L27" s="13">
        <v>43703</v>
      </c>
      <c r="M27">
        <v>4.5</v>
      </c>
    </row>
    <row r="28" spans="2:13" x14ac:dyDescent="0.25">
      <c r="B28" s="5"/>
      <c r="C28" s="7"/>
      <c r="D28" s="5"/>
      <c r="E28" s="5"/>
      <c r="F28" s="5"/>
      <c r="G28" s="5"/>
      <c r="L28" s="13">
        <v>43704</v>
      </c>
      <c r="M28">
        <v>4.5</v>
      </c>
    </row>
    <row r="29" spans="2:13" x14ac:dyDescent="0.25">
      <c r="B29" s="5"/>
      <c r="C29" s="7"/>
      <c r="D29" s="5"/>
      <c r="E29" s="5"/>
      <c r="F29" s="5"/>
      <c r="G29" s="5"/>
      <c r="L29" s="13">
        <v>43705</v>
      </c>
      <c r="M29">
        <v>4.5</v>
      </c>
    </row>
    <row r="30" spans="2:13" x14ac:dyDescent="0.25">
      <c r="B30" s="5"/>
      <c r="C30" s="7"/>
      <c r="D30" s="5"/>
      <c r="E30" s="5"/>
      <c r="F30" s="5"/>
      <c r="G30" s="5"/>
      <c r="L30" s="13">
        <v>43706</v>
      </c>
      <c r="M30">
        <v>4.5</v>
      </c>
    </row>
    <row r="31" spans="2:13" x14ac:dyDescent="0.25">
      <c r="B31" s="5"/>
      <c r="C31" s="7"/>
      <c r="D31" s="5"/>
      <c r="E31" s="5"/>
      <c r="F31" s="5"/>
      <c r="G31" s="5"/>
      <c r="L31" s="13">
        <v>43707</v>
      </c>
      <c r="M31">
        <v>4.5</v>
      </c>
    </row>
    <row r="32" spans="2:13" x14ac:dyDescent="0.25">
      <c r="B32" s="5"/>
      <c r="C32" s="7"/>
      <c r="D32" s="5"/>
      <c r="E32" s="5"/>
      <c r="F32" s="5"/>
      <c r="G32" s="5"/>
      <c r="L32" s="13">
        <v>43708</v>
      </c>
      <c r="M32">
        <v>4.5</v>
      </c>
    </row>
    <row r="33" spans="2:13" x14ac:dyDescent="0.25">
      <c r="B33" s="5"/>
      <c r="C33" s="7"/>
      <c r="D33" s="5"/>
      <c r="E33" s="5"/>
      <c r="F33" s="5"/>
      <c r="G33" s="5"/>
      <c r="M33">
        <f>SUM(M2:M32)</f>
        <v>139.5</v>
      </c>
    </row>
    <row r="34" spans="2:13" x14ac:dyDescent="0.25">
      <c r="B34" s="11"/>
      <c r="C34" s="7"/>
      <c r="D34" s="7"/>
      <c r="E34" s="5"/>
      <c r="F34" s="5"/>
      <c r="G34" s="5"/>
    </row>
    <row r="35" spans="2:13" x14ac:dyDescent="0.25">
      <c r="B35" s="5"/>
      <c r="C35" s="7"/>
      <c r="D35" s="7"/>
      <c r="E35" s="5"/>
      <c r="F35" s="5"/>
      <c r="G35" s="5"/>
    </row>
    <row r="36" spans="2:13" x14ac:dyDescent="0.25">
      <c r="B36" s="5"/>
      <c r="C36" s="7"/>
      <c r="D36" s="5"/>
      <c r="E36" s="5"/>
      <c r="F36" s="5"/>
      <c r="G36" s="5"/>
    </row>
    <row r="37" spans="2:13" x14ac:dyDescent="0.25">
      <c r="B37" s="5"/>
      <c r="C37" s="7"/>
      <c r="D37" s="5"/>
      <c r="E37" s="5"/>
      <c r="F37" s="5"/>
      <c r="G37" s="5"/>
    </row>
    <row r="38" spans="2:13" x14ac:dyDescent="0.25">
      <c r="B38" s="5"/>
      <c r="C38" s="7"/>
      <c r="D38" s="5"/>
      <c r="E38" s="5"/>
      <c r="F38" s="5"/>
      <c r="G38" s="5"/>
    </row>
    <row r="39" spans="2:13" x14ac:dyDescent="0.25">
      <c r="B39" s="5"/>
      <c r="C39" s="7"/>
      <c r="D39" s="5"/>
      <c r="E39" s="5"/>
      <c r="F39" s="5"/>
      <c r="G39" s="5"/>
    </row>
    <row r="40" spans="2:13" x14ac:dyDescent="0.25">
      <c r="B40" s="5"/>
      <c r="C40" s="7"/>
      <c r="D40" s="5"/>
      <c r="E40" s="5"/>
      <c r="F40" s="5"/>
      <c r="G40" s="5"/>
    </row>
    <row r="41" spans="2:13" x14ac:dyDescent="0.25">
      <c r="B41" s="5"/>
      <c r="C41" s="7"/>
      <c r="D41" s="5"/>
      <c r="E41" s="5"/>
      <c r="F41" s="5"/>
      <c r="G41" s="5"/>
    </row>
    <row r="42" spans="2:13" x14ac:dyDescent="0.25">
      <c r="B42" s="5"/>
      <c r="C42" s="7"/>
      <c r="D42" s="5"/>
      <c r="E42" s="5"/>
      <c r="F42" s="5"/>
      <c r="G42" s="5"/>
    </row>
    <row r="43" spans="2:13" x14ac:dyDescent="0.25">
      <c r="B43" s="5"/>
      <c r="C43" s="7"/>
      <c r="D43" s="5"/>
      <c r="E43" s="5"/>
      <c r="F43" s="5"/>
      <c r="G43" s="5"/>
    </row>
    <row r="44" spans="2:13" x14ac:dyDescent="0.25">
      <c r="B44" s="5"/>
      <c r="C44" s="7"/>
      <c r="D44" s="5"/>
      <c r="E44" s="5"/>
      <c r="F44" s="5"/>
      <c r="G44" s="5"/>
    </row>
    <row r="45" spans="2:13" x14ac:dyDescent="0.25">
      <c r="B45" s="5"/>
      <c r="C45" s="7"/>
      <c r="D45" s="5"/>
      <c r="E45" s="5"/>
      <c r="F45" s="5"/>
      <c r="G45" s="5"/>
    </row>
    <row r="46" spans="2:13" x14ac:dyDescent="0.25">
      <c r="B46" s="5"/>
      <c r="C46" s="7"/>
      <c r="D46" s="5"/>
      <c r="E46" s="5"/>
      <c r="F46" s="5"/>
      <c r="G46" s="5"/>
    </row>
    <row r="47" spans="2:13" x14ac:dyDescent="0.25">
      <c r="B47" s="5"/>
      <c r="C47" s="7"/>
      <c r="D47" s="5"/>
      <c r="E47" s="5"/>
      <c r="F47" s="5"/>
      <c r="G47" s="5"/>
    </row>
    <row r="48" spans="2:13" x14ac:dyDescent="0.25">
      <c r="B48" s="5"/>
      <c r="C48" s="7"/>
      <c r="D48" s="5"/>
      <c r="E48" s="5"/>
      <c r="F48" s="5"/>
      <c r="G48" s="5"/>
    </row>
    <row r="49" spans="2:7" x14ac:dyDescent="0.25">
      <c r="B49" s="5"/>
      <c r="C49" s="7"/>
      <c r="D49" s="5"/>
      <c r="E49" s="5"/>
      <c r="F49" s="5"/>
      <c r="G49" s="5"/>
    </row>
    <row r="50" spans="2:7" x14ac:dyDescent="0.25">
      <c r="B50" s="5"/>
      <c r="C50" s="7"/>
      <c r="D50" s="5"/>
      <c r="E50" s="5"/>
      <c r="F50" s="5"/>
      <c r="G50" s="5"/>
    </row>
    <row r="51" spans="2:7" x14ac:dyDescent="0.25">
      <c r="B51" s="5"/>
      <c r="C51" s="7"/>
      <c r="D51" s="5"/>
      <c r="E51" s="5"/>
      <c r="F51" s="5"/>
      <c r="G51" s="5"/>
    </row>
    <row r="52" spans="2:7" x14ac:dyDescent="0.25">
      <c r="B52" s="5"/>
      <c r="C52" s="7"/>
      <c r="D52" s="5"/>
      <c r="E52" s="5"/>
      <c r="F52" s="5"/>
      <c r="G52" s="5"/>
    </row>
    <row r="53" spans="2:7" x14ac:dyDescent="0.25">
      <c r="B53" s="5"/>
      <c r="C53" s="7"/>
      <c r="D53" s="5"/>
      <c r="E53" s="5"/>
      <c r="F53" s="5"/>
      <c r="G53" s="5"/>
    </row>
    <row r="54" spans="2:7" x14ac:dyDescent="0.25">
      <c r="B54" s="5"/>
      <c r="C54" s="7"/>
      <c r="D54" s="5"/>
      <c r="E54" s="5"/>
      <c r="F54" s="5"/>
      <c r="G54" s="5"/>
    </row>
    <row r="55" spans="2:7" x14ac:dyDescent="0.25">
      <c r="B55" s="5"/>
      <c r="C55" s="7"/>
      <c r="D55" s="5"/>
      <c r="E55" s="5"/>
      <c r="F55" s="5"/>
      <c r="G55" s="5"/>
    </row>
    <row r="56" spans="2:7" x14ac:dyDescent="0.25">
      <c r="B56" s="5"/>
      <c r="C56" s="7"/>
      <c r="D56" s="5"/>
      <c r="E56" s="5"/>
      <c r="F56" s="5"/>
      <c r="G56" s="5"/>
    </row>
    <row r="57" spans="2:7" x14ac:dyDescent="0.25">
      <c r="B57" s="5"/>
      <c r="C57" s="7"/>
      <c r="D57" s="5"/>
      <c r="E57" s="5"/>
      <c r="F57" s="5"/>
      <c r="G57" s="5"/>
    </row>
    <row r="58" spans="2:7" x14ac:dyDescent="0.25">
      <c r="B58" s="5"/>
      <c r="C58" s="7"/>
      <c r="D58" s="5"/>
      <c r="E58" s="5"/>
      <c r="F58" s="5"/>
      <c r="G58" s="5"/>
    </row>
    <row r="59" spans="2:7" x14ac:dyDescent="0.25">
      <c r="B59" s="5"/>
      <c r="C59" s="7"/>
      <c r="D59" s="5"/>
      <c r="E59" s="5"/>
      <c r="F59" s="5"/>
      <c r="G59" s="5"/>
    </row>
    <row r="60" spans="2:7" x14ac:dyDescent="0.25">
      <c r="B60" s="5"/>
      <c r="C60" s="7"/>
      <c r="D60" s="5"/>
      <c r="E60" s="5"/>
      <c r="F60" s="5"/>
      <c r="G60" s="5"/>
    </row>
    <row r="61" spans="2:7" x14ac:dyDescent="0.25">
      <c r="B61" s="5"/>
      <c r="C61" s="7"/>
      <c r="D61" s="5"/>
      <c r="E61" s="5"/>
      <c r="F61" s="5"/>
      <c r="G61" s="5"/>
    </row>
    <row r="62" spans="2:7" x14ac:dyDescent="0.25">
      <c r="B62" s="5"/>
      <c r="C62" s="7"/>
      <c r="D62" s="5"/>
      <c r="E62" s="5"/>
      <c r="F62" s="5"/>
      <c r="G62" s="5"/>
    </row>
    <row r="63" spans="2:7" x14ac:dyDescent="0.25">
      <c r="B63" s="5"/>
      <c r="C63" s="7"/>
      <c r="D63" s="5"/>
      <c r="E63" s="5"/>
      <c r="F63" s="5"/>
      <c r="G63" s="5"/>
    </row>
    <row r="64" spans="2:7" x14ac:dyDescent="0.25">
      <c r="B64" s="5"/>
      <c r="C64" s="7"/>
      <c r="D64" s="5"/>
      <c r="E64" s="5"/>
      <c r="F64" s="5"/>
      <c r="G64" s="5"/>
    </row>
    <row r="65" spans="2:7" x14ac:dyDescent="0.25">
      <c r="B65" s="5"/>
      <c r="C65" s="7"/>
      <c r="D65" s="5"/>
      <c r="E65" s="5"/>
      <c r="F65" s="5"/>
      <c r="G65" s="5"/>
    </row>
    <row r="66" spans="2:7" x14ac:dyDescent="0.25">
      <c r="B66" s="5"/>
      <c r="C66" s="7"/>
      <c r="D66" s="5"/>
      <c r="E66" s="5"/>
      <c r="F66" s="5"/>
      <c r="G66" s="5"/>
    </row>
    <row r="67" spans="2:7" x14ac:dyDescent="0.25">
      <c r="B67" s="5"/>
      <c r="C67" s="7"/>
      <c r="D67" s="5"/>
      <c r="E67" s="5"/>
      <c r="F67" s="5"/>
      <c r="G67" s="5"/>
    </row>
    <row r="68" spans="2:7" x14ac:dyDescent="0.25">
      <c r="B68" s="5"/>
      <c r="C68" s="7"/>
      <c r="D68" s="5"/>
      <c r="E68" s="5"/>
      <c r="F68" s="5"/>
      <c r="G68" s="5"/>
    </row>
    <row r="69" spans="2:7" x14ac:dyDescent="0.25">
      <c r="B69" s="5"/>
      <c r="C69" s="7"/>
      <c r="D69" s="5"/>
      <c r="E69" s="5"/>
      <c r="F69" s="5"/>
      <c r="G69" s="5"/>
    </row>
    <row r="70" spans="2:7" x14ac:dyDescent="0.25">
      <c r="B70" s="5"/>
      <c r="C70" s="7"/>
      <c r="D70" s="5"/>
      <c r="E70" s="5"/>
      <c r="F70" s="5"/>
      <c r="G70" s="5"/>
    </row>
    <row r="71" spans="2:7" x14ac:dyDescent="0.25">
      <c r="B71" s="5"/>
      <c r="C71" s="7"/>
      <c r="D71" s="5"/>
      <c r="E71" s="5"/>
      <c r="F71" s="5"/>
      <c r="G71" s="5"/>
    </row>
    <row r="72" spans="2:7" x14ac:dyDescent="0.25">
      <c r="B72" s="5"/>
      <c r="C72" s="7"/>
      <c r="D72" s="5"/>
      <c r="E72" s="5"/>
      <c r="F72" s="5"/>
      <c r="G72" s="5"/>
    </row>
    <row r="73" spans="2:7" x14ac:dyDescent="0.25">
      <c r="B73" s="5"/>
      <c r="C73" s="7"/>
      <c r="D73" s="5"/>
      <c r="E73" s="5"/>
      <c r="F73" s="5"/>
      <c r="G73" s="5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'2022'!$B$3:$B$19</xm:f>
          </x14:formula1>
          <xm:sqref>A2:A73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J72"/>
  <sheetViews>
    <sheetView workbookViewId="0">
      <selection activeCell="E22" sqref="E22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8.140625" bestFit="1" customWidth="1"/>
    <col min="5" max="5" width="9.42578125" bestFit="1" customWidth="1"/>
    <col min="6" max="6" width="9.85546875" bestFit="1" customWidth="1"/>
    <col min="7" max="7" width="21.42578125" bestFit="1" customWidth="1"/>
    <col min="8" max="8" width="1.42578125" customWidth="1"/>
    <col min="9" max="9" width="13.85546875" bestFit="1" customWidth="1"/>
    <col min="10" max="10" width="10.85546875" bestFit="1" customWidth="1"/>
  </cols>
  <sheetData>
    <row r="1" spans="1:10" s="9" customFormat="1" x14ac:dyDescent="0.25">
      <c r="A1" s="9" t="s">
        <v>0</v>
      </c>
      <c r="B1" s="9" t="s">
        <v>23</v>
      </c>
      <c r="C1" s="10" t="s">
        <v>24</v>
      </c>
      <c r="D1" s="9" t="s">
        <v>36</v>
      </c>
      <c r="E1" s="9" t="s">
        <v>35</v>
      </c>
      <c r="F1" s="9" t="s">
        <v>34</v>
      </c>
      <c r="G1" s="9" t="s">
        <v>33</v>
      </c>
      <c r="I1" s="9" t="s">
        <v>0</v>
      </c>
      <c r="J1" s="9" t="s">
        <v>18</v>
      </c>
    </row>
    <row r="2" spans="1:10" x14ac:dyDescent="0.25">
      <c r="A2" t="s">
        <v>28</v>
      </c>
      <c r="B2" s="5">
        <v>0.9</v>
      </c>
      <c r="C2" s="7">
        <v>44820</v>
      </c>
      <c r="D2" s="5" t="s">
        <v>47</v>
      </c>
      <c r="E2" s="5"/>
      <c r="F2" s="5"/>
      <c r="G2" s="5"/>
      <c r="I2" t="s">
        <v>1</v>
      </c>
      <c r="J2" s="5">
        <f>SUMIF(tbl_setembro[Categoria],Tabela3131517192123824[[#This Row],[Categoria]],tbl_setembro[Valor])</f>
        <v>0</v>
      </c>
    </row>
    <row r="3" spans="1:10" x14ac:dyDescent="0.25">
      <c r="A3" t="s">
        <v>32</v>
      </c>
      <c r="B3" s="5">
        <v>8.77</v>
      </c>
      <c r="C3" s="7">
        <v>44820</v>
      </c>
      <c r="D3" s="5"/>
      <c r="E3" s="5"/>
      <c r="F3" s="5"/>
      <c r="G3" s="5"/>
      <c r="I3" t="s">
        <v>2</v>
      </c>
      <c r="J3" s="5">
        <f>SUMIF(tbl_setembro[Categoria],Tabela3131517192123824[[#This Row],[Categoria]],tbl_setembro[Valor])</f>
        <v>0</v>
      </c>
    </row>
    <row r="4" spans="1:10" x14ac:dyDescent="0.25">
      <c r="A4" t="s">
        <v>19</v>
      </c>
      <c r="B4" s="5">
        <v>80</v>
      </c>
      <c r="C4" s="7">
        <v>44820</v>
      </c>
      <c r="D4" s="5"/>
      <c r="E4" s="5"/>
      <c r="F4" s="5"/>
      <c r="G4" s="5"/>
      <c r="I4" t="s">
        <v>25</v>
      </c>
      <c r="J4" s="5">
        <f>SUMIF(tbl_setembro[Categoria],Tabela3131517192123824[[#This Row],[Categoria]],tbl_setembro[Valor])</f>
        <v>0</v>
      </c>
    </row>
    <row r="5" spans="1:10" x14ac:dyDescent="0.25">
      <c r="A5" t="s">
        <v>40</v>
      </c>
      <c r="B5" s="5">
        <v>9</v>
      </c>
      <c r="C5" s="7">
        <v>44821</v>
      </c>
      <c r="D5" s="5"/>
      <c r="E5" s="5"/>
      <c r="F5" s="5"/>
      <c r="G5" s="5"/>
      <c r="I5" t="s">
        <v>26</v>
      </c>
      <c r="J5" s="5">
        <f>SUMIF(tbl_setembro[Categoria],Tabela3131517192123824[[#This Row],[Categoria]],tbl_setembro[Valor])</f>
        <v>0</v>
      </c>
    </row>
    <row r="6" spans="1:10" x14ac:dyDescent="0.25">
      <c r="A6" t="s">
        <v>19</v>
      </c>
      <c r="B6" s="5">
        <v>40</v>
      </c>
      <c r="C6" s="7">
        <v>44822</v>
      </c>
      <c r="D6" s="5" t="s">
        <v>46</v>
      </c>
      <c r="E6" s="5"/>
      <c r="F6" s="5"/>
      <c r="G6" s="5"/>
      <c r="I6" t="s">
        <v>27</v>
      </c>
      <c r="J6" s="5">
        <f>SUMIF(tbl_setembro[Categoria],Tabela3131517192123824[[#This Row],[Categoria]],tbl_setembro[Valor])</f>
        <v>0</v>
      </c>
    </row>
    <row r="7" spans="1:10" x14ac:dyDescent="0.25">
      <c r="A7" t="s">
        <v>41</v>
      </c>
      <c r="B7" s="5">
        <v>0.17</v>
      </c>
      <c r="C7" s="7">
        <v>44823</v>
      </c>
      <c r="D7" s="5"/>
      <c r="E7" s="5"/>
      <c r="F7" s="5"/>
      <c r="G7" s="5"/>
      <c r="I7" t="s">
        <v>28</v>
      </c>
      <c r="J7" s="5">
        <f>SUMIF(tbl_setembro[Categoria],Tabela3131517192123824[[#This Row],[Categoria]],tbl_setembro[Valor])</f>
        <v>3.2</v>
      </c>
    </row>
    <row r="8" spans="1:10" x14ac:dyDescent="0.25">
      <c r="A8" t="s">
        <v>32</v>
      </c>
      <c r="B8" s="5">
        <v>18.239999999999998</v>
      </c>
      <c r="C8" s="7">
        <v>44823</v>
      </c>
      <c r="D8" s="5"/>
      <c r="E8" s="5"/>
      <c r="F8" s="5"/>
      <c r="G8" s="5"/>
      <c r="I8" t="s">
        <v>29</v>
      </c>
      <c r="J8" s="5">
        <f>SUMIF(tbl_setembro[Categoria],Tabela3131517192123824[[#This Row],[Categoria]],tbl_setembro[Valor])</f>
        <v>0</v>
      </c>
    </row>
    <row r="9" spans="1:10" x14ac:dyDescent="0.25">
      <c r="A9" t="s">
        <v>28</v>
      </c>
      <c r="B9" s="5">
        <v>1.3</v>
      </c>
      <c r="C9" s="7">
        <v>44823</v>
      </c>
      <c r="D9" s="5" t="s">
        <v>47</v>
      </c>
      <c r="E9" s="5"/>
      <c r="F9" s="5"/>
      <c r="G9" s="5"/>
      <c r="I9" t="s">
        <v>30</v>
      </c>
      <c r="J9" s="5">
        <f>SUMIF(tbl_setembro[Categoria],Tabela3131517192123824[[#This Row],[Categoria]],tbl_setembro[Valor])</f>
        <v>0</v>
      </c>
    </row>
    <row r="10" spans="1:10" x14ac:dyDescent="0.25">
      <c r="A10" t="s">
        <v>28</v>
      </c>
      <c r="B10" s="5">
        <v>1</v>
      </c>
      <c r="C10" s="7">
        <v>44823</v>
      </c>
      <c r="D10" s="5" t="s">
        <v>47</v>
      </c>
      <c r="E10" s="5"/>
      <c r="F10" s="5"/>
      <c r="G10" s="5"/>
      <c r="I10" t="s">
        <v>19</v>
      </c>
      <c r="J10" s="5">
        <f>SUMIF(tbl_setembro[Categoria],Tabela3131517192123824[[#This Row],[Categoria]],tbl_setembro[Valor])</f>
        <v>120</v>
      </c>
    </row>
    <row r="11" spans="1:10" x14ac:dyDescent="0.25">
      <c r="A11" t="s">
        <v>32</v>
      </c>
      <c r="B11" s="5">
        <v>5.38</v>
      </c>
      <c r="C11" s="7">
        <v>44823</v>
      </c>
      <c r="D11" s="5"/>
      <c r="E11" s="5"/>
      <c r="F11" s="5"/>
      <c r="G11" s="5"/>
      <c r="I11" t="s">
        <v>32</v>
      </c>
      <c r="J11" s="5">
        <f>SUMIF(tbl_setembro[Categoria],Tabela3131517192123824[[#This Row],[Categoria]],tbl_setembro[Valor])</f>
        <v>32.39</v>
      </c>
    </row>
    <row r="12" spans="1:10" x14ac:dyDescent="0.25">
      <c r="A12" t="s">
        <v>41</v>
      </c>
      <c r="B12" s="5">
        <v>0.08</v>
      </c>
      <c r="C12" s="7">
        <v>44824</v>
      </c>
      <c r="D12" s="5"/>
      <c r="E12" s="5"/>
      <c r="F12" s="5"/>
      <c r="G12" s="5"/>
      <c r="I12" t="s">
        <v>31</v>
      </c>
      <c r="J12" s="5">
        <f>SUMIF(tbl_setembro[Categoria],Tabela3131517192123824[[#This Row],[Categoria]],tbl_setembro[Valor])</f>
        <v>0</v>
      </c>
    </row>
    <row r="13" spans="1:10" x14ac:dyDescent="0.25">
      <c r="B13" s="5"/>
      <c r="C13" s="7"/>
      <c r="D13" s="5"/>
      <c r="E13" s="5"/>
      <c r="F13" s="5"/>
      <c r="G13" s="5"/>
      <c r="I13" t="s">
        <v>37</v>
      </c>
      <c r="J13" s="5">
        <f>SUMIF(tbl_setembro[Categoria],Tabela3131517192123824[[#This Row],[Categoria]],tbl_setembro[Valor])</f>
        <v>0</v>
      </c>
    </row>
    <row r="14" spans="1:10" x14ac:dyDescent="0.25">
      <c r="B14" s="5"/>
      <c r="C14" s="7"/>
      <c r="D14" s="5"/>
      <c r="E14" s="5"/>
      <c r="F14" s="5"/>
      <c r="G14" s="5"/>
      <c r="I14" t="s">
        <v>38</v>
      </c>
      <c r="J14" s="5">
        <f>SUMIF(tbl_setembro[Categoria],Tabela3131517192123824[[#This Row],[Categoria]],tbl_setembro[Valor])</f>
        <v>0</v>
      </c>
    </row>
    <row r="15" spans="1:10" x14ac:dyDescent="0.25">
      <c r="B15" s="5"/>
      <c r="C15" s="7"/>
      <c r="D15" s="5"/>
      <c r="E15" s="5"/>
      <c r="F15" s="5"/>
      <c r="G15" s="5"/>
      <c r="I15" t="s">
        <v>39</v>
      </c>
      <c r="J15" s="5">
        <f>SUMIF(tbl_setembro[Categoria],Tabela3131517192123824[[#This Row],[Categoria]],tbl_setembro[Valor])</f>
        <v>0</v>
      </c>
    </row>
    <row r="16" spans="1:10" x14ac:dyDescent="0.25">
      <c r="B16" s="5"/>
      <c r="C16" s="7"/>
      <c r="D16" s="5"/>
      <c r="E16" s="5"/>
      <c r="F16" s="5"/>
      <c r="G16" s="5"/>
      <c r="I16" t="s">
        <v>40</v>
      </c>
      <c r="J16" s="5">
        <f>SUMIF(tbl_setembro[Categoria],Tabela3131517192123824[[#This Row],[Categoria]],tbl_setembro[Valor])</f>
        <v>9</v>
      </c>
    </row>
    <row r="17" spans="2:10" x14ac:dyDescent="0.25">
      <c r="B17" s="5"/>
      <c r="C17" s="7"/>
      <c r="D17" s="5"/>
      <c r="E17" s="5"/>
      <c r="F17" s="5"/>
      <c r="G17" s="5"/>
      <c r="I17" t="s">
        <v>41</v>
      </c>
      <c r="J17" s="5">
        <f>SUMIF(tbl_setembro[Categoria],Tabela3131517192123824[[#This Row],[Categoria]],tbl_setembro[Valor])</f>
        <v>0.25</v>
      </c>
    </row>
    <row r="18" spans="2:10" x14ac:dyDescent="0.25">
      <c r="B18" s="5"/>
      <c r="C18" s="7"/>
      <c r="D18" s="5"/>
      <c r="E18" s="5"/>
      <c r="F18" s="5"/>
      <c r="G18" s="5"/>
      <c r="I18" t="s">
        <v>42</v>
      </c>
      <c r="J18" s="5">
        <f>SUMIF(tbl_setembro[Categoria],Tabela3131517192123824[[#This Row],[Categoria]],tbl_setembro[Valor])</f>
        <v>0</v>
      </c>
    </row>
    <row r="19" spans="2:10" x14ac:dyDescent="0.25">
      <c r="B19" s="5"/>
      <c r="C19" s="7"/>
      <c r="D19" s="5"/>
      <c r="E19" s="5"/>
      <c r="F19" s="5"/>
      <c r="G19" s="5"/>
      <c r="I19" t="s">
        <v>18</v>
      </c>
      <c r="J19" s="12">
        <f>SUBTOTAL(109,Tabela3131517192123824[Total])</f>
        <v>164.84</v>
      </c>
    </row>
    <row r="20" spans="2:10" x14ac:dyDescent="0.25">
      <c r="B20" s="5"/>
      <c r="C20" s="7"/>
      <c r="D20" s="5"/>
      <c r="E20" s="5"/>
      <c r="F20" s="5"/>
      <c r="G20" s="5"/>
    </row>
    <row r="21" spans="2:10" x14ac:dyDescent="0.25">
      <c r="B21" s="5"/>
      <c r="C21" s="7"/>
      <c r="D21" s="5"/>
      <c r="E21" s="5"/>
      <c r="F21" s="5"/>
      <c r="G21" s="5"/>
    </row>
    <row r="22" spans="2:10" x14ac:dyDescent="0.25">
      <c r="B22" s="5"/>
      <c r="C22" s="7"/>
      <c r="D22" s="5"/>
      <c r="E22" s="5"/>
      <c r="F22" s="5"/>
      <c r="G22" s="5"/>
    </row>
    <row r="23" spans="2:10" x14ac:dyDescent="0.25">
      <c r="B23" s="5"/>
      <c r="C23" s="7"/>
      <c r="D23" s="5"/>
      <c r="E23" s="5"/>
      <c r="F23" s="5"/>
      <c r="G23" s="5"/>
    </row>
    <row r="24" spans="2:10" x14ac:dyDescent="0.25">
      <c r="B24" s="5"/>
      <c r="C24" s="7"/>
      <c r="D24" s="5"/>
      <c r="E24" s="5"/>
      <c r="F24" s="5"/>
      <c r="G24" s="5"/>
    </row>
    <row r="25" spans="2:10" x14ac:dyDescent="0.25">
      <c r="B25" s="5"/>
      <c r="C25" s="7"/>
      <c r="D25" s="5"/>
      <c r="E25" s="5"/>
      <c r="F25" s="5"/>
      <c r="G25" s="5"/>
    </row>
    <row r="26" spans="2:10" x14ac:dyDescent="0.25">
      <c r="B26" s="5"/>
      <c r="C26" s="7"/>
      <c r="D26" s="5"/>
      <c r="E26" s="5"/>
      <c r="F26" s="5"/>
      <c r="G26" s="5"/>
    </row>
    <row r="27" spans="2:10" x14ac:dyDescent="0.25">
      <c r="B27" s="5"/>
      <c r="C27" s="7"/>
      <c r="D27" s="5"/>
      <c r="E27" s="5"/>
      <c r="F27" s="5"/>
      <c r="G27" s="5"/>
    </row>
    <row r="28" spans="2:10" x14ac:dyDescent="0.25">
      <c r="B28" s="5"/>
      <c r="C28" s="7"/>
      <c r="D28" s="5"/>
      <c r="E28" s="5"/>
      <c r="F28" s="5"/>
      <c r="G28" s="5"/>
    </row>
    <row r="29" spans="2:10" x14ac:dyDescent="0.25">
      <c r="B29" s="5"/>
      <c r="C29" s="7"/>
      <c r="D29" s="5"/>
      <c r="E29" s="5"/>
      <c r="F29" s="5"/>
      <c r="G29" s="5"/>
    </row>
    <row r="30" spans="2:10" x14ac:dyDescent="0.25">
      <c r="B30" s="5"/>
      <c r="C30" s="7"/>
      <c r="D30" s="5"/>
      <c r="E30" s="5"/>
      <c r="F30" s="5"/>
      <c r="G30" s="5"/>
    </row>
    <row r="31" spans="2:10" x14ac:dyDescent="0.25">
      <c r="B31" s="5"/>
      <c r="C31" s="7"/>
      <c r="D31" s="5"/>
      <c r="E31" s="5"/>
      <c r="F31" s="5"/>
      <c r="G31" s="5"/>
    </row>
    <row r="32" spans="2:10" x14ac:dyDescent="0.25">
      <c r="B32" s="5"/>
      <c r="C32" s="7"/>
      <c r="D32" s="5"/>
      <c r="E32" s="5"/>
      <c r="F32" s="5"/>
      <c r="G32" s="5"/>
    </row>
    <row r="33" spans="2:7" x14ac:dyDescent="0.25">
      <c r="B33" s="5"/>
      <c r="C33" s="7"/>
      <c r="D33" s="5"/>
      <c r="E33" s="5"/>
      <c r="F33" s="5"/>
      <c r="G33" s="5"/>
    </row>
    <row r="34" spans="2:7" x14ac:dyDescent="0.25">
      <c r="B34" s="11"/>
      <c r="C34" s="7"/>
      <c r="D34" s="7"/>
      <c r="E34" s="5"/>
      <c r="F34" s="5"/>
      <c r="G34" s="5"/>
    </row>
    <row r="35" spans="2:7" x14ac:dyDescent="0.25">
      <c r="B35" s="5"/>
      <c r="C35" s="7"/>
      <c r="D35" s="7"/>
      <c r="E35" s="5"/>
      <c r="F35" s="5"/>
      <c r="G35" s="5"/>
    </row>
    <row r="36" spans="2:7" x14ac:dyDescent="0.25">
      <c r="B36" s="5"/>
      <c r="C36" s="7"/>
      <c r="D36" s="5"/>
      <c r="E36" s="5"/>
      <c r="F36" s="5"/>
      <c r="G36" s="5"/>
    </row>
    <row r="37" spans="2:7" x14ac:dyDescent="0.25">
      <c r="B37" s="5"/>
      <c r="C37" s="7"/>
      <c r="D37" s="5"/>
      <c r="E37" s="5"/>
      <c r="F37" s="5"/>
      <c r="G37" s="5"/>
    </row>
    <row r="38" spans="2:7" x14ac:dyDescent="0.25">
      <c r="B38" s="5"/>
      <c r="C38" s="7"/>
      <c r="D38" s="5"/>
      <c r="E38" s="5"/>
      <c r="F38" s="5"/>
      <c r="G38" s="5"/>
    </row>
    <row r="39" spans="2:7" x14ac:dyDescent="0.25">
      <c r="B39" s="5"/>
      <c r="C39" s="7"/>
      <c r="D39" s="5"/>
      <c r="E39" s="5"/>
      <c r="F39" s="5"/>
      <c r="G39" s="5"/>
    </row>
    <row r="40" spans="2:7" x14ac:dyDescent="0.25">
      <c r="B40" s="5"/>
      <c r="C40" s="7"/>
      <c r="D40" s="5"/>
      <c r="E40" s="5"/>
      <c r="F40" s="5"/>
      <c r="G40" s="5"/>
    </row>
    <row r="41" spans="2:7" x14ac:dyDescent="0.25">
      <c r="B41" s="5"/>
      <c r="C41" s="7"/>
      <c r="D41" s="5"/>
      <c r="E41" s="5"/>
      <c r="F41" s="5"/>
      <c r="G41" s="5"/>
    </row>
    <row r="42" spans="2:7" x14ac:dyDescent="0.25">
      <c r="B42" s="5"/>
      <c r="C42" s="7"/>
      <c r="D42" s="5"/>
      <c r="E42" s="5"/>
      <c r="F42" s="5"/>
      <c r="G42" s="5"/>
    </row>
    <row r="43" spans="2:7" x14ac:dyDescent="0.25">
      <c r="B43" s="5"/>
      <c r="C43" s="7"/>
      <c r="D43" s="5"/>
      <c r="E43" s="5"/>
      <c r="F43" s="5"/>
      <c r="G43" s="5"/>
    </row>
    <row r="44" spans="2:7" x14ac:dyDescent="0.25">
      <c r="B44" s="5"/>
      <c r="C44" s="7"/>
      <c r="D44" s="5"/>
      <c r="E44" s="5"/>
      <c r="F44" s="5"/>
      <c r="G44" s="5"/>
    </row>
    <row r="45" spans="2:7" x14ac:dyDescent="0.25">
      <c r="B45" s="5"/>
      <c r="C45" s="7"/>
      <c r="D45" s="5"/>
      <c r="E45" s="5"/>
      <c r="F45" s="5"/>
      <c r="G45" s="5"/>
    </row>
    <row r="46" spans="2:7" x14ac:dyDescent="0.25">
      <c r="B46" s="5"/>
      <c r="C46" s="7"/>
      <c r="D46" s="5"/>
      <c r="E46" s="5"/>
      <c r="F46" s="5"/>
      <c r="G46" s="5"/>
    </row>
    <row r="47" spans="2:7" x14ac:dyDescent="0.25">
      <c r="B47" s="5"/>
      <c r="C47" s="7"/>
      <c r="D47" s="5"/>
      <c r="E47" s="5"/>
      <c r="F47" s="5"/>
      <c r="G47" s="5"/>
    </row>
    <row r="48" spans="2:7" x14ac:dyDescent="0.25">
      <c r="B48" s="5"/>
      <c r="C48" s="7"/>
      <c r="D48" s="5"/>
      <c r="E48" s="5"/>
      <c r="F48" s="5"/>
      <c r="G48" s="5"/>
    </row>
    <row r="49" spans="2:7" x14ac:dyDescent="0.25">
      <c r="B49" s="5"/>
      <c r="C49" s="7"/>
      <c r="D49" s="5"/>
      <c r="E49" s="5"/>
      <c r="F49" s="5"/>
      <c r="G49" s="5"/>
    </row>
    <row r="50" spans="2:7" x14ac:dyDescent="0.25">
      <c r="B50" s="5"/>
      <c r="C50" s="7"/>
      <c r="D50" s="5"/>
      <c r="E50" s="5"/>
      <c r="F50" s="5"/>
      <c r="G50" s="5"/>
    </row>
    <row r="51" spans="2:7" x14ac:dyDescent="0.25">
      <c r="B51" s="5"/>
      <c r="C51" s="7"/>
      <c r="D51" s="5"/>
      <c r="E51" s="5"/>
      <c r="F51" s="5"/>
      <c r="G51" s="5"/>
    </row>
    <row r="52" spans="2:7" x14ac:dyDescent="0.25">
      <c r="B52" s="5"/>
      <c r="C52" s="7"/>
      <c r="D52" s="5"/>
      <c r="E52" s="5"/>
      <c r="F52" s="5"/>
      <c r="G52" s="5"/>
    </row>
    <row r="53" spans="2:7" x14ac:dyDescent="0.25">
      <c r="B53" s="5"/>
      <c r="C53" s="7"/>
      <c r="D53" s="5"/>
      <c r="E53" s="5"/>
      <c r="F53" s="5"/>
      <c r="G53" s="5"/>
    </row>
    <row r="54" spans="2:7" x14ac:dyDescent="0.25">
      <c r="B54" s="5"/>
      <c r="C54" s="7"/>
      <c r="D54" s="5"/>
      <c r="E54" s="5"/>
      <c r="F54" s="5"/>
      <c r="G54" s="5"/>
    </row>
    <row r="55" spans="2:7" x14ac:dyDescent="0.25">
      <c r="B55" s="5"/>
      <c r="C55" s="7"/>
      <c r="D55" s="5"/>
      <c r="E55" s="5"/>
      <c r="F55" s="5"/>
      <c r="G55" s="5"/>
    </row>
    <row r="56" spans="2:7" x14ac:dyDescent="0.25">
      <c r="B56" s="5"/>
      <c r="C56" s="7"/>
      <c r="D56" s="5"/>
      <c r="E56" s="5"/>
      <c r="F56" s="5"/>
      <c r="G56" s="5"/>
    </row>
    <row r="57" spans="2:7" x14ac:dyDescent="0.25">
      <c r="B57" s="5"/>
      <c r="C57" s="7"/>
      <c r="D57" s="5"/>
      <c r="E57" s="5"/>
      <c r="F57" s="5"/>
      <c r="G57" s="5"/>
    </row>
    <row r="58" spans="2:7" x14ac:dyDescent="0.25">
      <c r="B58" s="5"/>
      <c r="C58" s="7"/>
      <c r="D58" s="5"/>
      <c r="E58" s="5"/>
      <c r="F58" s="5"/>
      <c r="G58" s="5"/>
    </row>
    <row r="59" spans="2:7" x14ac:dyDescent="0.25">
      <c r="B59" s="5"/>
      <c r="C59" s="7"/>
      <c r="D59" s="5"/>
      <c r="E59" s="5"/>
      <c r="F59" s="5"/>
      <c r="G59" s="5"/>
    </row>
    <row r="60" spans="2:7" x14ac:dyDescent="0.25">
      <c r="B60" s="5"/>
      <c r="C60" s="7"/>
      <c r="D60" s="5"/>
      <c r="E60" s="5"/>
      <c r="F60" s="5"/>
      <c r="G60" s="5"/>
    </row>
    <row r="61" spans="2:7" x14ac:dyDescent="0.25">
      <c r="B61" s="5"/>
      <c r="C61" s="7"/>
      <c r="D61" s="5"/>
      <c r="E61" s="5"/>
      <c r="F61" s="5"/>
      <c r="G61" s="5"/>
    </row>
    <row r="62" spans="2:7" x14ac:dyDescent="0.25">
      <c r="B62" s="5"/>
      <c r="C62" s="7"/>
      <c r="D62" s="5"/>
      <c r="E62" s="5"/>
      <c r="F62" s="5"/>
      <c r="G62" s="5"/>
    </row>
    <row r="63" spans="2:7" x14ac:dyDescent="0.25">
      <c r="B63" s="5"/>
      <c r="C63" s="7"/>
      <c r="D63" s="5"/>
      <c r="E63" s="5"/>
      <c r="F63" s="5"/>
      <c r="G63" s="5"/>
    </row>
    <row r="64" spans="2:7" x14ac:dyDescent="0.25">
      <c r="B64" s="5"/>
      <c r="C64" s="7"/>
      <c r="D64" s="5"/>
      <c r="E64" s="5"/>
      <c r="F64" s="5"/>
      <c r="G64" s="5"/>
    </row>
    <row r="65" spans="2:7" x14ac:dyDescent="0.25">
      <c r="B65" s="5"/>
      <c r="C65" s="7"/>
      <c r="D65" s="5"/>
      <c r="E65" s="5"/>
      <c r="F65" s="5"/>
      <c r="G65" s="5"/>
    </row>
    <row r="66" spans="2:7" x14ac:dyDescent="0.25">
      <c r="B66" s="5"/>
      <c r="C66" s="7"/>
      <c r="D66" s="5"/>
      <c r="E66" s="5"/>
      <c r="F66" s="5"/>
      <c r="G66" s="5"/>
    </row>
    <row r="67" spans="2:7" x14ac:dyDescent="0.25">
      <c r="B67" s="5"/>
      <c r="C67" s="7"/>
      <c r="D67" s="5"/>
      <c r="E67" s="5"/>
      <c r="F67" s="5"/>
      <c r="G67" s="5"/>
    </row>
    <row r="68" spans="2:7" x14ac:dyDescent="0.25">
      <c r="B68" s="5"/>
      <c r="C68" s="7"/>
      <c r="D68" s="5"/>
      <c r="E68" s="5"/>
      <c r="F68" s="5"/>
      <c r="G68" s="5"/>
    </row>
    <row r="69" spans="2:7" x14ac:dyDescent="0.25">
      <c r="B69" s="5"/>
      <c r="C69" s="7"/>
      <c r="D69" s="5"/>
      <c r="E69" s="5"/>
      <c r="F69" s="5"/>
      <c r="G69" s="5"/>
    </row>
    <row r="70" spans="2:7" x14ac:dyDescent="0.25">
      <c r="B70" s="5"/>
      <c r="C70" s="7"/>
      <c r="D70" s="5"/>
      <c r="E70" s="5"/>
      <c r="F70" s="5"/>
      <c r="G70" s="5"/>
    </row>
    <row r="71" spans="2:7" x14ac:dyDescent="0.25">
      <c r="B71" s="5"/>
      <c r="C71" s="7"/>
      <c r="D71" s="5"/>
      <c r="E71" s="5"/>
      <c r="F71" s="5"/>
      <c r="G71" s="5"/>
    </row>
    <row r="72" spans="2:7" x14ac:dyDescent="0.25">
      <c r="B72" s="5"/>
      <c r="C72" s="7"/>
      <c r="D72" s="5"/>
      <c r="E72" s="5"/>
      <c r="F72" s="5"/>
      <c r="G72" s="5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'2022'!$B$3:$B$19</xm:f>
          </x14:formula1>
          <xm:sqref>A2:A72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M72"/>
  <sheetViews>
    <sheetView workbookViewId="0">
      <selection activeCell="D16" sqref="D16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8.140625" bestFit="1" customWidth="1"/>
    <col min="5" max="5" width="9.42578125" bestFit="1" customWidth="1"/>
    <col min="6" max="6" width="9.85546875" bestFit="1" customWidth="1"/>
    <col min="7" max="7" width="21.42578125" bestFit="1" customWidth="1"/>
    <col min="8" max="8" width="1.42578125" customWidth="1"/>
    <col min="9" max="9" width="13.85546875" bestFit="1" customWidth="1"/>
    <col min="10" max="10" width="10.85546875" bestFit="1" customWidth="1"/>
    <col min="12" max="12" width="10.7109375" bestFit="1" customWidth="1"/>
  </cols>
  <sheetData>
    <row r="1" spans="1:13" s="9" customFormat="1" x14ac:dyDescent="0.25">
      <c r="A1" s="9" t="s">
        <v>0</v>
      </c>
      <c r="B1" s="9" t="s">
        <v>23</v>
      </c>
      <c r="C1" s="10" t="s">
        <v>24</v>
      </c>
      <c r="D1" s="9" t="s">
        <v>36</v>
      </c>
      <c r="E1" s="9" t="s">
        <v>35</v>
      </c>
      <c r="F1" s="9" t="s">
        <v>34</v>
      </c>
      <c r="G1" s="9" t="s">
        <v>33</v>
      </c>
      <c r="I1" s="9" t="s">
        <v>0</v>
      </c>
      <c r="J1" s="9" t="s">
        <v>18</v>
      </c>
    </row>
    <row r="2" spans="1:13" x14ac:dyDescent="0.25">
      <c r="B2" s="5"/>
      <c r="C2" s="7"/>
      <c r="D2" s="5"/>
      <c r="E2" s="5"/>
      <c r="F2" s="5"/>
      <c r="G2" s="5"/>
      <c r="I2" t="s">
        <v>1</v>
      </c>
      <c r="J2" s="5">
        <f>SUMIF(tblJaneiro1214161820226925[Categoria],Tabela313151719212382426[[#This Row],[Categoria]],tblJaneiro1214161820226925[Valor])</f>
        <v>0</v>
      </c>
      <c r="L2" s="13">
        <v>43739</v>
      </c>
      <c r="M2">
        <v>4.5</v>
      </c>
    </row>
    <row r="3" spans="1:13" x14ac:dyDescent="0.25">
      <c r="B3" s="5"/>
      <c r="C3" s="7"/>
      <c r="D3" s="5"/>
      <c r="E3" s="5"/>
      <c r="F3" s="5"/>
      <c r="G3" s="5"/>
      <c r="I3" t="s">
        <v>2</v>
      </c>
      <c r="J3" s="5">
        <f>SUMIF(tblJaneiro1214161820226925[Categoria],Tabela313151719212382426[[#This Row],[Categoria]],tblJaneiro1214161820226925[Valor])</f>
        <v>0</v>
      </c>
      <c r="L3" s="13">
        <v>43740</v>
      </c>
      <c r="M3">
        <v>4.5</v>
      </c>
    </row>
    <row r="4" spans="1:13" x14ac:dyDescent="0.25">
      <c r="B4" s="5"/>
      <c r="C4" s="7"/>
      <c r="D4" s="5"/>
      <c r="E4" s="5"/>
      <c r="F4" s="5"/>
      <c r="G4" s="5"/>
      <c r="I4" t="s">
        <v>25</v>
      </c>
      <c r="J4" s="5">
        <f>SUMIF(tblJaneiro1214161820226925[Categoria],Tabela313151719212382426[[#This Row],[Categoria]],tblJaneiro1214161820226925[Valor])</f>
        <v>0</v>
      </c>
      <c r="L4" s="13">
        <v>43741</v>
      </c>
      <c r="M4">
        <v>4.5</v>
      </c>
    </row>
    <row r="5" spans="1:13" x14ac:dyDescent="0.25">
      <c r="B5" s="5"/>
      <c r="C5" s="7"/>
      <c r="D5" s="5"/>
      <c r="E5" s="5"/>
      <c r="F5" s="5"/>
      <c r="G5" s="5"/>
      <c r="I5" t="s">
        <v>26</v>
      </c>
      <c r="J5" s="5">
        <f>SUMIF(tblJaneiro1214161820226925[Categoria],Tabela313151719212382426[[#This Row],[Categoria]],tblJaneiro1214161820226925[Valor])</f>
        <v>0</v>
      </c>
      <c r="L5" s="13">
        <v>43742</v>
      </c>
      <c r="M5">
        <v>4.5</v>
      </c>
    </row>
    <row r="6" spans="1:13" x14ac:dyDescent="0.25">
      <c r="B6" s="5"/>
      <c r="C6" s="7"/>
      <c r="D6" s="5"/>
      <c r="E6" s="5"/>
      <c r="F6" s="5"/>
      <c r="G6" s="5"/>
      <c r="I6" t="s">
        <v>27</v>
      </c>
      <c r="J6" s="5">
        <f>SUMIF(tblJaneiro1214161820226925[Categoria],Tabela313151719212382426[[#This Row],[Categoria]],tblJaneiro1214161820226925[Valor])</f>
        <v>0</v>
      </c>
      <c r="L6" s="13">
        <v>43743</v>
      </c>
      <c r="M6">
        <v>4.5</v>
      </c>
    </row>
    <row r="7" spans="1:13" x14ac:dyDescent="0.25">
      <c r="B7" s="5"/>
      <c r="C7" s="7"/>
      <c r="D7" s="5"/>
      <c r="E7" s="5"/>
      <c r="F7" s="5"/>
      <c r="G7" s="5"/>
      <c r="I7" t="s">
        <v>28</v>
      </c>
      <c r="J7" s="5">
        <f>SUMIF(tblJaneiro1214161820226925[Categoria],Tabela313151719212382426[[#This Row],[Categoria]],tblJaneiro1214161820226925[Valor])</f>
        <v>0</v>
      </c>
      <c r="L7" s="13">
        <v>43744</v>
      </c>
      <c r="M7">
        <v>4.5</v>
      </c>
    </row>
    <row r="8" spans="1:13" x14ac:dyDescent="0.25">
      <c r="B8" s="5"/>
      <c r="C8" s="7"/>
      <c r="D8" s="5"/>
      <c r="E8" s="5"/>
      <c r="F8" s="5"/>
      <c r="G8" s="5"/>
      <c r="I8" t="s">
        <v>29</v>
      </c>
      <c r="J8" s="5">
        <f>SUMIF(tblJaneiro1214161820226925[Categoria],Tabela313151719212382426[[#This Row],[Categoria]],tblJaneiro1214161820226925[Valor])</f>
        <v>0</v>
      </c>
      <c r="L8" s="13">
        <v>43745</v>
      </c>
      <c r="M8">
        <v>4.5</v>
      </c>
    </row>
    <row r="9" spans="1:13" x14ac:dyDescent="0.25">
      <c r="B9" s="5"/>
      <c r="C9" s="7"/>
      <c r="D9" s="5"/>
      <c r="E9" s="5"/>
      <c r="F9" s="5"/>
      <c r="G9" s="5"/>
      <c r="I9" t="s">
        <v>30</v>
      </c>
      <c r="J9" s="5">
        <f>SUMIF(tblJaneiro1214161820226925[Categoria],Tabela313151719212382426[[#This Row],[Categoria]],tblJaneiro1214161820226925[Valor])</f>
        <v>0</v>
      </c>
      <c r="L9" s="13">
        <v>43746</v>
      </c>
      <c r="M9">
        <v>4.5</v>
      </c>
    </row>
    <row r="10" spans="1:13" x14ac:dyDescent="0.25">
      <c r="B10" s="5"/>
      <c r="C10" s="7"/>
      <c r="D10" s="5"/>
      <c r="E10" s="5"/>
      <c r="F10" s="5"/>
      <c r="G10" s="5"/>
      <c r="I10" t="s">
        <v>19</v>
      </c>
      <c r="J10" s="5">
        <f>SUMIF(tblJaneiro1214161820226925[Categoria],Tabela313151719212382426[[#This Row],[Categoria]],tblJaneiro1214161820226925[Valor])</f>
        <v>0</v>
      </c>
      <c r="L10" s="13">
        <v>43747</v>
      </c>
      <c r="M10">
        <v>4.5</v>
      </c>
    </row>
    <row r="11" spans="1:13" x14ac:dyDescent="0.25">
      <c r="B11" s="5"/>
      <c r="C11" s="7"/>
      <c r="D11" s="5"/>
      <c r="E11" s="5"/>
      <c r="F11" s="5"/>
      <c r="G11" s="5"/>
      <c r="I11" t="s">
        <v>32</v>
      </c>
      <c r="J11" s="5">
        <f>SUMIF(tblJaneiro1214161820226925[Categoria],Tabela313151719212382426[[#This Row],[Categoria]],tblJaneiro1214161820226925[Valor])</f>
        <v>0</v>
      </c>
      <c r="L11" s="13">
        <v>43748</v>
      </c>
      <c r="M11">
        <v>4.5</v>
      </c>
    </row>
    <row r="12" spans="1:13" x14ac:dyDescent="0.25">
      <c r="B12" s="5"/>
      <c r="C12" s="7"/>
      <c r="D12" s="5"/>
      <c r="E12" s="5"/>
      <c r="F12" s="5"/>
      <c r="G12" s="5"/>
      <c r="I12" t="s">
        <v>31</v>
      </c>
      <c r="J12" s="5">
        <f>SUMIF(tblJaneiro1214161820226925[Categoria],Tabela313151719212382426[[#This Row],[Categoria]],tblJaneiro1214161820226925[Valor])</f>
        <v>0</v>
      </c>
      <c r="L12" s="13">
        <v>43749</v>
      </c>
      <c r="M12">
        <v>4.5</v>
      </c>
    </row>
    <row r="13" spans="1:13" x14ac:dyDescent="0.25">
      <c r="B13" s="5"/>
      <c r="C13" s="7"/>
      <c r="D13" s="5"/>
      <c r="E13" s="5"/>
      <c r="F13" s="5"/>
      <c r="G13" s="5"/>
      <c r="I13" t="s">
        <v>37</v>
      </c>
      <c r="J13" s="5">
        <f>SUMIF(tblJaneiro1214161820226925[Categoria],Tabela313151719212382426[[#This Row],[Categoria]],tblJaneiro1214161820226925[Valor])</f>
        <v>0</v>
      </c>
      <c r="L13" s="13">
        <v>43750</v>
      </c>
      <c r="M13">
        <v>4.5</v>
      </c>
    </row>
    <row r="14" spans="1:13" x14ac:dyDescent="0.25">
      <c r="B14" s="5"/>
      <c r="C14" s="7"/>
      <c r="D14" s="5"/>
      <c r="E14" s="5"/>
      <c r="F14" s="5"/>
      <c r="G14" s="5"/>
      <c r="I14" t="s">
        <v>38</v>
      </c>
      <c r="J14" s="5">
        <f>SUMIF(tblJaneiro1214161820226925[Categoria],Tabela313151719212382426[[#This Row],[Categoria]],tblJaneiro1214161820226925[Valor])</f>
        <v>0</v>
      </c>
      <c r="L14" s="13">
        <v>43751</v>
      </c>
      <c r="M14">
        <v>4.5</v>
      </c>
    </row>
    <row r="15" spans="1:13" x14ac:dyDescent="0.25">
      <c r="B15" s="5"/>
      <c r="C15" s="7"/>
      <c r="D15" s="5"/>
      <c r="E15" s="5"/>
      <c r="F15" s="5"/>
      <c r="G15" s="5"/>
      <c r="I15" t="s">
        <v>39</v>
      </c>
      <c r="J15" s="5">
        <f>SUMIF(tblJaneiro1214161820226925[Categoria],Tabela313151719212382426[[#This Row],[Categoria]],tblJaneiro1214161820226925[Valor])</f>
        <v>0</v>
      </c>
      <c r="L15" s="13">
        <v>43752</v>
      </c>
      <c r="M15">
        <v>4.5</v>
      </c>
    </row>
    <row r="16" spans="1:13" x14ac:dyDescent="0.25">
      <c r="B16" s="5"/>
      <c r="C16" s="7"/>
      <c r="D16" s="5"/>
      <c r="E16" s="5"/>
      <c r="F16" s="5"/>
      <c r="G16" s="5"/>
      <c r="I16" t="s">
        <v>40</v>
      </c>
      <c r="J16" s="5">
        <f>SUMIF(tblJaneiro1214161820226925[Categoria],Tabela313151719212382426[[#This Row],[Categoria]],tblJaneiro1214161820226925[Valor])</f>
        <v>0</v>
      </c>
      <c r="L16" s="13">
        <v>43753</v>
      </c>
      <c r="M16">
        <v>4.5</v>
      </c>
    </row>
    <row r="17" spans="2:13" x14ac:dyDescent="0.25">
      <c r="B17" s="5"/>
      <c r="C17" s="7"/>
      <c r="D17" s="5"/>
      <c r="E17" s="5"/>
      <c r="F17" s="5"/>
      <c r="G17" s="5"/>
      <c r="I17" t="s">
        <v>41</v>
      </c>
      <c r="J17" s="5">
        <f>SUMIF(tblJaneiro1214161820226925[Categoria],Tabela313151719212382426[[#This Row],[Categoria]],tblJaneiro1214161820226925[Valor])</f>
        <v>0</v>
      </c>
      <c r="L17" s="13">
        <v>43754</v>
      </c>
      <c r="M17">
        <v>4.5</v>
      </c>
    </row>
    <row r="18" spans="2:13" x14ac:dyDescent="0.25">
      <c r="B18" s="5"/>
      <c r="C18" s="7"/>
      <c r="D18" s="5"/>
      <c r="E18" s="5"/>
      <c r="F18" s="5"/>
      <c r="G18" s="5"/>
      <c r="I18" t="s">
        <v>42</v>
      </c>
      <c r="J18" s="5">
        <f>SUMIF(tblJaneiro1214161820226925[Categoria],Tabela313151719212382426[[#This Row],[Categoria]],tblJaneiro1214161820226925[Valor])</f>
        <v>0</v>
      </c>
      <c r="L18" s="13">
        <v>43755</v>
      </c>
      <c r="M18">
        <v>4.5</v>
      </c>
    </row>
    <row r="19" spans="2:13" x14ac:dyDescent="0.25">
      <c r="B19" s="5"/>
      <c r="C19" s="7"/>
      <c r="D19" s="5"/>
      <c r="E19" s="5"/>
      <c r="F19" s="5"/>
      <c r="G19" s="5"/>
      <c r="I19" t="s">
        <v>18</v>
      </c>
      <c r="J19" s="12">
        <f>SUBTOTAL(109,Tabela313151719212382426[Total])</f>
        <v>0</v>
      </c>
      <c r="L19" s="13">
        <v>43756</v>
      </c>
      <c r="M19">
        <v>4.5</v>
      </c>
    </row>
    <row r="20" spans="2:13" x14ac:dyDescent="0.25">
      <c r="B20" s="5"/>
      <c r="C20" s="7"/>
      <c r="D20" s="5"/>
      <c r="E20" s="5"/>
      <c r="F20" s="5"/>
      <c r="G20" s="5"/>
      <c r="L20" s="13">
        <v>43757</v>
      </c>
      <c r="M20">
        <v>4.5</v>
      </c>
    </row>
    <row r="21" spans="2:13" x14ac:dyDescent="0.25">
      <c r="B21" s="5"/>
      <c r="C21" s="7"/>
      <c r="D21" s="5"/>
      <c r="E21" s="5"/>
      <c r="F21" s="5"/>
      <c r="G21" s="5"/>
      <c r="L21" s="13">
        <v>43758</v>
      </c>
      <c r="M21">
        <v>4.5</v>
      </c>
    </row>
    <row r="22" spans="2:13" x14ac:dyDescent="0.25">
      <c r="B22" s="5"/>
      <c r="C22" s="7"/>
      <c r="D22" s="5"/>
      <c r="E22" s="5"/>
      <c r="F22" s="5"/>
      <c r="G22" s="5"/>
      <c r="L22" s="13">
        <v>43759</v>
      </c>
      <c r="M22">
        <v>4.5</v>
      </c>
    </row>
    <row r="23" spans="2:13" x14ac:dyDescent="0.25">
      <c r="B23" s="5"/>
      <c r="C23" s="7"/>
      <c r="D23" s="5"/>
      <c r="E23" s="5"/>
      <c r="F23" s="5"/>
      <c r="G23" s="5"/>
      <c r="L23" s="13">
        <v>43760</v>
      </c>
      <c r="M23">
        <v>4.5</v>
      </c>
    </row>
    <row r="24" spans="2:13" x14ac:dyDescent="0.25">
      <c r="B24" s="5"/>
      <c r="C24" s="7"/>
      <c r="D24" s="5"/>
      <c r="E24" s="5"/>
      <c r="F24" s="5"/>
      <c r="G24" s="5"/>
      <c r="L24" s="13">
        <v>43761</v>
      </c>
      <c r="M24">
        <v>4.5</v>
      </c>
    </row>
    <row r="25" spans="2:13" x14ac:dyDescent="0.25">
      <c r="B25" s="5"/>
      <c r="C25" s="7"/>
      <c r="D25" s="5"/>
      <c r="E25" s="5"/>
      <c r="F25" s="5"/>
      <c r="G25" s="5"/>
      <c r="L25" s="13">
        <v>43762</v>
      </c>
      <c r="M25">
        <v>4.5</v>
      </c>
    </row>
    <row r="26" spans="2:13" x14ac:dyDescent="0.25">
      <c r="B26" s="5"/>
      <c r="C26" s="7"/>
      <c r="D26" s="5"/>
      <c r="E26" s="5"/>
      <c r="F26" s="5"/>
      <c r="G26" s="5"/>
      <c r="L26" s="13">
        <v>43763</v>
      </c>
      <c r="M26">
        <v>4.5</v>
      </c>
    </row>
    <row r="27" spans="2:13" x14ac:dyDescent="0.25">
      <c r="B27" s="5"/>
      <c r="C27" s="7"/>
      <c r="D27" s="5"/>
      <c r="E27" s="5"/>
      <c r="F27" s="5"/>
      <c r="G27" s="5"/>
      <c r="L27" s="13">
        <v>43764</v>
      </c>
      <c r="M27">
        <v>4.5</v>
      </c>
    </row>
    <row r="28" spans="2:13" x14ac:dyDescent="0.25">
      <c r="B28" s="5"/>
      <c r="C28" s="7"/>
      <c r="D28" s="5"/>
      <c r="E28" s="5"/>
      <c r="F28" s="5"/>
      <c r="G28" s="5"/>
      <c r="L28" s="13">
        <v>43765</v>
      </c>
      <c r="M28">
        <v>4.5</v>
      </c>
    </row>
    <row r="29" spans="2:13" x14ac:dyDescent="0.25">
      <c r="B29" s="5"/>
      <c r="C29" s="7"/>
      <c r="D29" s="5"/>
      <c r="E29" s="5"/>
      <c r="F29" s="5"/>
      <c r="G29" s="5"/>
      <c r="L29" s="13">
        <v>43766</v>
      </c>
      <c r="M29">
        <v>4.5</v>
      </c>
    </row>
    <row r="30" spans="2:13" x14ac:dyDescent="0.25">
      <c r="B30" s="5"/>
      <c r="C30" s="7"/>
      <c r="D30" s="5"/>
      <c r="E30" s="5"/>
      <c r="F30" s="5"/>
      <c r="G30" s="5"/>
      <c r="L30" s="13">
        <v>43767</v>
      </c>
      <c r="M30">
        <v>4.5</v>
      </c>
    </row>
    <row r="31" spans="2:13" x14ac:dyDescent="0.25">
      <c r="B31" s="5"/>
      <c r="C31" s="7"/>
      <c r="D31" s="5"/>
      <c r="E31" s="5"/>
      <c r="F31" s="5"/>
      <c r="G31" s="5"/>
      <c r="L31" s="13">
        <v>43768</v>
      </c>
      <c r="M31">
        <v>4.5</v>
      </c>
    </row>
    <row r="32" spans="2:13" x14ac:dyDescent="0.25">
      <c r="B32" s="5"/>
      <c r="C32" s="7"/>
      <c r="D32" s="5"/>
      <c r="E32" s="5"/>
      <c r="F32" s="5"/>
      <c r="G32" s="5"/>
      <c r="L32" s="13">
        <v>43769</v>
      </c>
      <c r="M32">
        <v>4.5</v>
      </c>
    </row>
    <row r="33" spans="2:13" x14ac:dyDescent="0.25">
      <c r="B33" s="5"/>
      <c r="C33" s="7"/>
      <c r="D33" s="5"/>
      <c r="E33" s="5"/>
      <c r="F33" s="5"/>
      <c r="G33" s="5"/>
      <c r="M33">
        <f>SUM(M2:M32)</f>
        <v>139.5</v>
      </c>
    </row>
    <row r="34" spans="2:13" x14ac:dyDescent="0.25">
      <c r="B34" s="11"/>
      <c r="C34" s="7"/>
      <c r="D34" s="7"/>
      <c r="E34" s="5"/>
      <c r="F34" s="5"/>
      <c r="G34" s="5"/>
    </row>
    <row r="35" spans="2:13" x14ac:dyDescent="0.25">
      <c r="B35" s="5"/>
      <c r="C35" s="7"/>
      <c r="D35" s="7"/>
      <c r="E35" s="5"/>
      <c r="F35" s="5"/>
      <c r="G35" s="5"/>
    </row>
    <row r="36" spans="2:13" x14ac:dyDescent="0.25">
      <c r="B36" s="5"/>
      <c r="C36" s="7"/>
      <c r="D36" s="5"/>
      <c r="E36" s="5"/>
      <c r="F36" s="5"/>
      <c r="G36" s="5"/>
    </row>
    <row r="37" spans="2:13" x14ac:dyDescent="0.25">
      <c r="B37" s="5"/>
      <c r="C37" s="7"/>
      <c r="D37" s="5"/>
      <c r="E37" s="5"/>
      <c r="F37" s="5"/>
      <c r="G37" s="5"/>
    </row>
    <row r="38" spans="2:13" x14ac:dyDescent="0.25">
      <c r="B38" s="5"/>
      <c r="C38" s="7"/>
      <c r="D38" s="5"/>
      <c r="E38" s="5"/>
      <c r="F38" s="5"/>
      <c r="G38" s="5"/>
    </row>
    <row r="39" spans="2:13" x14ac:dyDescent="0.25">
      <c r="B39" s="5"/>
      <c r="C39" s="7"/>
      <c r="D39" s="5"/>
      <c r="E39" s="5"/>
      <c r="F39" s="5"/>
      <c r="G39" s="5"/>
    </row>
    <row r="40" spans="2:13" x14ac:dyDescent="0.25">
      <c r="B40" s="5"/>
      <c r="C40" s="7"/>
      <c r="D40" s="5"/>
      <c r="E40" s="5"/>
      <c r="F40" s="5"/>
      <c r="G40" s="5"/>
    </row>
    <row r="41" spans="2:13" x14ac:dyDescent="0.25">
      <c r="B41" s="5"/>
      <c r="C41" s="7"/>
      <c r="D41" s="5"/>
      <c r="E41" s="5"/>
      <c r="F41" s="5"/>
      <c r="G41" s="5"/>
    </row>
    <row r="42" spans="2:13" x14ac:dyDescent="0.25">
      <c r="B42" s="5"/>
      <c r="C42" s="7"/>
      <c r="D42" s="5"/>
      <c r="E42" s="5"/>
      <c r="F42" s="5"/>
      <c r="G42" s="5"/>
    </row>
    <row r="43" spans="2:13" x14ac:dyDescent="0.25">
      <c r="B43" s="5"/>
      <c r="C43" s="7"/>
      <c r="D43" s="5"/>
      <c r="E43" s="5"/>
      <c r="F43" s="5"/>
      <c r="G43" s="5"/>
    </row>
    <row r="44" spans="2:13" x14ac:dyDescent="0.25">
      <c r="B44" s="5"/>
      <c r="C44" s="7"/>
      <c r="D44" s="5"/>
      <c r="E44" s="5"/>
      <c r="F44" s="5"/>
      <c r="G44" s="5"/>
    </row>
    <row r="45" spans="2:13" x14ac:dyDescent="0.25">
      <c r="B45" s="5"/>
      <c r="C45" s="7"/>
      <c r="D45" s="5"/>
      <c r="E45" s="5"/>
      <c r="F45" s="5"/>
      <c r="G45" s="5"/>
    </row>
    <row r="46" spans="2:13" x14ac:dyDescent="0.25">
      <c r="B46" s="5"/>
      <c r="C46" s="7"/>
      <c r="D46" s="5"/>
      <c r="E46" s="5"/>
      <c r="F46" s="5"/>
      <c r="G46" s="5"/>
    </row>
    <row r="47" spans="2:13" x14ac:dyDescent="0.25">
      <c r="B47" s="5"/>
      <c r="C47" s="7"/>
      <c r="D47" s="5"/>
      <c r="E47" s="5"/>
      <c r="F47" s="5"/>
      <c r="G47" s="5"/>
    </row>
    <row r="48" spans="2:13" x14ac:dyDescent="0.25">
      <c r="B48" s="5"/>
      <c r="C48" s="7"/>
      <c r="D48" s="5"/>
      <c r="E48" s="5"/>
      <c r="F48" s="5"/>
      <c r="G48" s="5"/>
    </row>
    <row r="49" spans="2:7" x14ac:dyDescent="0.25">
      <c r="B49" s="5"/>
      <c r="C49" s="7"/>
      <c r="D49" s="5"/>
      <c r="E49" s="5"/>
      <c r="F49" s="5"/>
      <c r="G49" s="5"/>
    </row>
    <row r="50" spans="2:7" x14ac:dyDescent="0.25">
      <c r="B50" s="5"/>
      <c r="C50" s="7"/>
      <c r="D50" s="5"/>
      <c r="E50" s="5"/>
      <c r="F50" s="5"/>
      <c r="G50" s="5"/>
    </row>
    <row r="51" spans="2:7" x14ac:dyDescent="0.25">
      <c r="B51" s="5"/>
      <c r="C51" s="7"/>
      <c r="D51" s="5"/>
      <c r="E51" s="5"/>
      <c r="F51" s="5"/>
      <c r="G51" s="5"/>
    </row>
    <row r="52" spans="2:7" x14ac:dyDescent="0.25">
      <c r="B52" s="5"/>
      <c r="C52" s="7"/>
      <c r="D52" s="5"/>
      <c r="E52" s="5"/>
      <c r="F52" s="5"/>
      <c r="G52" s="5"/>
    </row>
    <row r="53" spans="2:7" x14ac:dyDescent="0.25">
      <c r="B53" s="5"/>
      <c r="C53" s="7"/>
      <c r="D53" s="5"/>
      <c r="E53" s="5"/>
      <c r="F53" s="5"/>
      <c r="G53" s="5"/>
    </row>
    <row r="54" spans="2:7" x14ac:dyDescent="0.25">
      <c r="B54" s="5"/>
      <c r="C54" s="7"/>
      <c r="D54" s="5"/>
      <c r="E54" s="5"/>
      <c r="F54" s="5"/>
      <c r="G54" s="5"/>
    </row>
    <row r="55" spans="2:7" x14ac:dyDescent="0.25">
      <c r="B55" s="5"/>
      <c r="C55" s="7"/>
      <c r="D55" s="5"/>
      <c r="E55" s="5"/>
      <c r="F55" s="5"/>
      <c r="G55" s="5"/>
    </row>
    <row r="56" spans="2:7" x14ac:dyDescent="0.25">
      <c r="B56" s="5"/>
      <c r="C56" s="7"/>
      <c r="D56" s="5"/>
      <c r="E56" s="5"/>
      <c r="F56" s="5"/>
      <c r="G56" s="5"/>
    </row>
    <row r="57" spans="2:7" x14ac:dyDescent="0.25">
      <c r="B57" s="5"/>
      <c r="C57" s="7"/>
      <c r="D57" s="5"/>
      <c r="E57" s="5"/>
      <c r="F57" s="5"/>
      <c r="G57" s="5"/>
    </row>
    <row r="58" spans="2:7" x14ac:dyDescent="0.25">
      <c r="B58" s="5"/>
      <c r="C58" s="7"/>
      <c r="D58" s="5"/>
      <c r="E58" s="5"/>
      <c r="F58" s="5"/>
      <c r="G58" s="5"/>
    </row>
    <row r="59" spans="2:7" x14ac:dyDescent="0.25">
      <c r="B59" s="5"/>
      <c r="C59" s="7"/>
      <c r="D59" s="5"/>
      <c r="E59" s="5"/>
      <c r="F59" s="5"/>
      <c r="G59" s="5"/>
    </row>
    <row r="60" spans="2:7" x14ac:dyDescent="0.25">
      <c r="B60" s="5"/>
      <c r="C60" s="7"/>
      <c r="D60" s="5"/>
      <c r="E60" s="5"/>
      <c r="F60" s="5"/>
      <c r="G60" s="5"/>
    </row>
    <row r="61" spans="2:7" x14ac:dyDescent="0.25">
      <c r="B61" s="5"/>
      <c r="C61" s="7"/>
      <c r="D61" s="5"/>
      <c r="E61" s="5"/>
      <c r="F61" s="5"/>
      <c r="G61" s="5"/>
    </row>
    <row r="62" spans="2:7" x14ac:dyDescent="0.25">
      <c r="B62" s="5"/>
      <c r="C62" s="7"/>
      <c r="D62" s="5"/>
      <c r="E62" s="5"/>
      <c r="F62" s="5"/>
      <c r="G62" s="5"/>
    </row>
    <row r="63" spans="2:7" x14ac:dyDescent="0.25">
      <c r="B63" s="5"/>
      <c r="C63" s="7"/>
      <c r="D63" s="5"/>
      <c r="E63" s="5"/>
      <c r="F63" s="5"/>
      <c r="G63" s="5"/>
    </row>
    <row r="64" spans="2:7" x14ac:dyDescent="0.25">
      <c r="B64" s="5"/>
      <c r="C64" s="7"/>
      <c r="D64" s="5"/>
      <c r="E64" s="5"/>
      <c r="F64" s="5"/>
      <c r="G64" s="5"/>
    </row>
    <row r="65" spans="2:7" x14ac:dyDescent="0.25">
      <c r="B65" s="5"/>
      <c r="C65" s="7"/>
      <c r="D65" s="5"/>
      <c r="E65" s="5"/>
      <c r="F65" s="5"/>
      <c r="G65" s="5"/>
    </row>
    <row r="66" spans="2:7" x14ac:dyDescent="0.25">
      <c r="B66" s="5"/>
      <c r="C66" s="7"/>
      <c r="D66" s="5"/>
      <c r="E66" s="5"/>
      <c r="F66" s="5"/>
      <c r="G66" s="5"/>
    </row>
    <row r="67" spans="2:7" x14ac:dyDescent="0.25">
      <c r="B67" s="5"/>
      <c r="C67" s="7"/>
      <c r="D67" s="5"/>
      <c r="E67" s="5"/>
      <c r="F67" s="5"/>
      <c r="G67" s="5"/>
    </row>
    <row r="68" spans="2:7" x14ac:dyDescent="0.25">
      <c r="B68" s="5"/>
      <c r="C68" s="7"/>
      <c r="D68" s="5"/>
      <c r="E68" s="5"/>
      <c r="F68" s="5"/>
      <c r="G68" s="5"/>
    </row>
    <row r="69" spans="2:7" x14ac:dyDescent="0.25">
      <c r="B69" s="5"/>
      <c r="C69" s="7"/>
      <c r="D69" s="5"/>
      <c r="E69" s="5"/>
      <c r="F69" s="5"/>
      <c r="G69" s="5"/>
    </row>
    <row r="70" spans="2:7" x14ac:dyDescent="0.25">
      <c r="B70" s="5"/>
      <c r="C70" s="7"/>
      <c r="D70" s="5"/>
      <c r="E70" s="5"/>
      <c r="F70" s="5"/>
      <c r="G70" s="5"/>
    </row>
    <row r="71" spans="2:7" x14ac:dyDescent="0.25">
      <c r="B71" s="5"/>
      <c r="C71" s="7"/>
      <c r="D71" s="5"/>
      <c r="E71" s="5"/>
      <c r="F71" s="5"/>
      <c r="G71" s="5"/>
    </row>
    <row r="72" spans="2:7" x14ac:dyDescent="0.25">
      <c r="B72" s="5"/>
      <c r="C72" s="7"/>
      <c r="D72" s="5"/>
      <c r="E72" s="5"/>
      <c r="F72" s="5"/>
      <c r="G72" s="5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A00-000000000000}">
          <x14:formula1>
            <xm:f>'2022'!$B$3:$B$19</xm:f>
          </x14:formula1>
          <xm:sqref>A2:A72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J72"/>
  <sheetViews>
    <sheetView workbookViewId="0">
      <selection activeCell="L1" sqref="L1:M1048576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8.140625" bestFit="1" customWidth="1"/>
    <col min="5" max="5" width="9.42578125" bestFit="1" customWidth="1"/>
    <col min="6" max="6" width="9.85546875" bestFit="1" customWidth="1"/>
    <col min="7" max="7" width="21.42578125" bestFit="1" customWidth="1"/>
    <col min="8" max="8" width="1.42578125" customWidth="1"/>
    <col min="9" max="9" width="13.85546875" bestFit="1" customWidth="1"/>
    <col min="10" max="10" width="10.85546875" bestFit="1" customWidth="1"/>
  </cols>
  <sheetData>
    <row r="1" spans="1:10" s="9" customFormat="1" x14ac:dyDescent="0.25">
      <c r="A1" s="9" t="s">
        <v>0</v>
      </c>
      <c r="B1" s="9" t="s">
        <v>23</v>
      </c>
      <c r="C1" s="10" t="s">
        <v>24</v>
      </c>
      <c r="D1" s="9" t="s">
        <v>36</v>
      </c>
      <c r="E1" s="9" t="s">
        <v>35</v>
      </c>
      <c r="F1" s="9" t="s">
        <v>34</v>
      </c>
      <c r="G1" s="9" t="s">
        <v>33</v>
      </c>
      <c r="I1" s="9" t="s">
        <v>0</v>
      </c>
      <c r="J1" s="9" t="s">
        <v>18</v>
      </c>
    </row>
    <row r="2" spans="1:10" x14ac:dyDescent="0.25">
      <c r="B2" s="5"/>
      <c r="C2" s="7"/>
      <c r="D2" s="5"/>
      <c r="E2" s="5"/>
      <c r="F2" s="5"/>
      <c r="G2" s="5"/>
      <c r="I2" t="s">
        <v>1</v>
      </c>
      <c r="J2" s="5">
        <f>SUMIF(tblJaneiro121416182022692527[Categoria],Tabela31315171921238242628[[#This Row],[Categoria]],tblJaneiro121416182022692527[Valor])</f>
        <v>0</v>
      </c>
    </row>
    <row r="3" spans="1:10" x14ac:dyDescent="0.25">
      <c r="B3" s="5"/>
      <c r="C3" s="7"/>
      <c r="D3" s="5"/>
      <c r="E3" s="5"/>
      <c r="F3" s="5"/>
      <c r="G3" s="5"/>
      <c r="I3" t="s">
        <v>2</v>
      </c>
      <c r="J3" s="5">
        <f>SUMIF(tblJaneiro121416182022692527[Categoria],Tabela31315171921238242628[[#This Row],[Categoria]],tblJaneiro121416182022692527[Valor])</f>
        <v>0</v>
      </c>
    </row>
    <row r="4" spans="1:10" x14ac:dyDescent="0.25">
      <c r="B4" s="5"/>
      <c r="C4" s="7"/>
      <c r="D4" s="5"/>
      <c r="E4" s="5"/>
      <c r="F4" s="5"/>
      <c r="G4" s="5"/>
      <c r="I4" t="s">
        <v>25</v>
      </c>
      <c r="J4" s="5">
        <f>SUMIF(tblJaneiro121416182022692527[Categoria],Tabela31315171921238242628[[#This Row],[Categoria]],tblJaneiro121416182022692527[Valor])</f>
        <v>0</v>
      </c>
    </row>
    <row r="5" spans="1:10" x14ac:dyDescent="0.25">
      <c r="B5" s="5"/>
      <c r="C5" s="7"/>
      <c r="D5" s="5"/>
      <c r="E5" s="5"/>
      <c r="F5" s="5"/>
      <c r="G5" s="5"/>
      <c r="I5" t="s">
        <v>26</v>
      </c>
      <c r="J5" s="5">
        <f>SUMIF(tblJaneiro121416182022692527[Categoria],Tabela31315171921238242628[[#This Row],[Categoria]],tblJaneiro121416182022692527[Valor])</f>
        <v>0</v>
      </c>
    </row>
    <row r="6" spans="1:10" x14ac:dyDescent="0.25">
      <c r="B6" s="5"/>
      <c r="C6" s="7"/>
      <c r="D6" s="5"/>
      <c r="E6" s="5"/>
      <c r="F6" s="5"/>
      <c r="G6" s="5"/>
      <c r="I6" t="s">
        <v>27</v>
      </c>
      <c r="J6" s="5">
        <f>SUMIF(tblJaneiro121416182022692527[Categoria],Tabela31315171921238242628[[#This Row],[Categoria]],tblJaneiro121416182022692527[Valor])</f>
        <v>0</v>
      </c>
    </row>
    <row r="7" spans="1:10" x14ac:dyDescent="0.25">
      <c r="B7" s="5"/>
      <c r="C7" s="7"/>
      <c r="D7" s="5"/>
      <c r="E7" s="5"/>
      <c r="F7" s="5"/>
      <c r="G7" s="5"/>
      <c r="I7" t="s">
        <v>28</v>
      </c>
      <c r="J7" s="5">
        <f>SUMIF(tblJaneiro121416182022692527[Categoria],Tabela31315171921238242628[[#This Row],[Categoria]],tblJaneiro121416182022692527[Valor])</f>
        <v>0</v>
      </c>
    </row>
    <row r="8" spans="1:10" x14ac:dyDescent="0.25">
      <c r="B8" s="5"/>
      <c r="C8" s="7"/>
      <c r="D8" s="5"/>
      <c r="E8" s="5"/>
      <c r="F8" s="5"/>
      <c r="G8" s="5"/>
      <c r="I8" t="s">
        <v>29</v>
      </c>
      <c r="J8" s="5">
        <f>SUMIF(tblJaneiro121416182022692527[Categoria],Tabela31315171921238242628[[#This Row],[Categoria]],tblJaneiro121416182022692527[Valor])</f>
        <v>0</v>
      </c>
    </row>
    <row r="9" spans="1:10" x14ac:dyDescent="0.25">
      <c r="B9" s="5"/>
      <c r="C9" s="7"/>
      <c r="D9" s="5"/>
      <c r="E9" s="5"/>
      <c r="F9" s="5"/>
      <c r="G9" s="5"/>
      <c r="I9" t="s">
        <v>30</v>
      </c>
      <c r="J9" s="5">
        <f>SUMIF(tblJaneiro121416182022692527[Categoria],Tabela31315171921238242628[[#This Row],[Categoria]],tblJaneiro121416182022692527[Valor])</f>
        <v>0</v>
      </c>
    </row>
    <row r="10" spans="1:10" x14ac:dyDescent="0.25">
      <c r="B10" s="5"/>
      <c r="C10" s="7"/>
      <c r="D10" s="5"/>
      <c r="E10" s="5"/>
      <c r="F10" s="5"/>
      <c r="G10" s="5"/>
      <c r="I10" t="s">
        <v>19</v>
      </c>
      <c r="J10" s="5">
        <f>SUMIF(tblJaneiro121416182022692527[Categoria],Tabela31315171921238242628[[#This Row],[Categoria]],tblJaneiro121416182022692527[Valor])</f>
        <v>0</v>
      </c>
    </row>
    <row r="11" spans="1:10" x14ac:dyDescent="0.25">
      <c r="B11" s="5"/>
      <c r="C11" s="7"/>
      <c r="D11" s="5"/>
      <c r="E11" s="5"/>
      <c r="F11" s="5"/>
      <c r="G11" s="5"/>
      <c r="I11" t="s">
        <v>32</v>
      </c>
      <c r="J11" s="5">
        <f>SUMIF(tblJaneiro121416182022692527[Categoria],Tabela31315171921238242628[[#This Row],[Categoria]],tblJaneiro121416182022692527[Valor])</f>
        <v>0</v>
      </c>
    </row>
    <row r="12" spans="1:10" x14ac:dyDescent="0.25">
      <c r="B12" s="5"/>
      <c r="C12" s="7"/>
      <c r="D12" s="5"/>
      <c r="E12" s="5"/>
      <c r="F12" s="5"/>
      <c r="G12" s="5"/>
      <c r="I12" t="s">
        <v>31</v>
      </c>
      <c r="J12" s="5">
        <f>SUMIF(tblJaneiro121416182022692527[Categoria],Tabela31315171921238242628[[#This Row],[Categoria]],tblJaneiro121416182022692527[Valor])</f>
        <v>0</v>
      </c>
    </row>
    <row r="13" spans="1:10" x14ac:dyDescent="0.25">
      <c r="B13" s="5"/>
      <c r="C13" s="7"/>
      <c r="D13" s="5"/>
      <c r="E13" s="5"/>
      <c r="F13" s="5"/>
      <c r="G13" s="5"/>
      <c r="I13" t="s">
        <v>37</v>
      </c>
      <c r="J13" s="5">
        <f>SUMIF(tblJaneiro121416182022692527[Categoria],Tabela31315171921238242628[[#This Row],[Categoria]],tblJaneiro121416182022692527[Valor])</f>
        <v>0</v>
      </c>
    </row>
    <row r="14" spans="1:10" x14ac:dyDescent="0.25">
      <c r="B14" s="5"/>
      <c r="C14" s="7"/>
      <c r="D14" s="5"/>
      <c r="E14" s="5"/>
      <c r="F14" s="5"/>
      <c r="G14" s="5"/>
      <c r="I14" t="s">
        <v>38</v>
      </c>
      <c r="J14" s="5">
        <f>SUMIF(tblJaneiro121416182022692527[Categoria],Tabela31315171921238242628[[#This Row],[Categoria]],tblJaneiro121416182022692527[Valor])</f>
        <v>0</v>
      </c>
    </row>
    <row r="15" spans="1:10" x14ac:dyDescent="0.25">
      <c r="B15" s="5"/>
      <c r="C15" s="7"/>
      <c r="D15" s="5"/>
      <c r="E15" s="5"/>
      <c r="F15" s="5"/>
      <c r="G15" s="5"/>
      <c r="I15" t="s">
        <v>39</v>
      </c>
      <c r="J15" s="5">
        <f>SUMIF(tblJaneiro121416182022692527[Categoria],Tabela31315171921238242628[[#This Row],[Categoria]],tblJaneiro121416182022692527[Valor])</f>
        <v>0</v>
      </c>
    </row>
    <row r="16" spans="1:10" x14ac:dyDescent="0.25">
      <c r="B16" s="5"/>
      <c r="C16" s="7"/>
      <c r="D16" s="5"/>
      <c r="E16" s="5"/>
      <c r="F16" s="5"/>
      <c r="G16" s="5"/>
      <c r="I16" t="s">
        <v>40</v>
      </c>
      <c r="J16" s="5">
        <f>SUMIF(tblJaneiro121416182022692527[Categoria],Tabela31315171921238242628[[#This Row],[Categoria]],tblJaneiro121416182022692527[Valor])</f>
        <v>0</v>
      </c>
    </row>
    <row r="17" spans="2:10" x14ac:dyDescent="0.25">
      <c r="B17" s="5"/>
      <c r="C17" s="7"/>
      <c r="D17" s="5"/>
      <c r="E17" s="5"/>
      <c r="F17" s="5"/>
      <c r="G17" s="5"/>
      <c r="I17" t="s">
        <v>41</v>
      </c>
      <c r="J17" s="5">
        <f>SUMIF(tblJaneiro121416182022692527[Categoria],Tabela31315171921238242628[[#This Row],[Categoria]],tblJaneiro121416182022692527[Valor])</f>
        <v>0</v>
      </c>
    </row>
    <row r="18" spans="2:10" x14ac:dyDescent="0.25">
      <c r="B18" s="5"/>
      <c r="C18" s="7"/>
      <c r="D18" s="5"/>
      <c r="E18" s="5"/>
      <c r="F18" s="5"/>
      <c r="G18" s="5"/>
      <c r="I18" t="s">
        <v>42</v>
      </c>
      <c r="J18" s="5">
        <f>SUMIF(tblJaneiro121416182022692527[Categoria],Tabela31315171921238242628[[#This Row],[Categoria]],tblJaneiro121416182022692527[Valor])</f>
        <v>0</v>
      </c>
    </row>
    <row r="19" spans="2:10" x14ac:dyDescent="0.25">
      <c r="B19" s="5"/>
      <c r="C19" s="7"/>
      <c r="D19" s="5"/>
      <c r="E19" s="5"/>
      <c r="F19" s="5"/>
      <c r="G19" s="5"/>
      <c r="I19" t="s">
        <v>18</v>
      </c>
      <c r="J19" s="12">
        <f>SUBTOTAL(109,Tabela31315171921238242628[Total])</f>
        <v>0</v>
      </c>
    </row>
    <row r="20" spans="2:10" x14ac:dyDescent="0.25">
      <c r="B20" s="5"/>
      <c r="C20" s="7"/>
      <c r="D20" s="5"/>
      <c r="E20" s="5"/>
      <c r="F20" s="5"/>
      <c r="G20" s="5"/>
    </row>
    <row r="21" spans="2:10" x14ac:dyDescent="0.25">
      <c r="B21" s="5"/>
      <c r="C21" s="7"/>
      <c r="D21" s="5"/>
      <c r="E21" s="5"/>
      <c r="F21" s="5"/>
      <c r="G21" s="5"/>
    </row>
    <row r="22" spans="2:10" x14ac:dyDescent="0.25">
      <c r="B22" s="5"/>
      <c r="C22" s="7"/>
      <c r="D22" s="5"/>
      <c r="E22" s="5"/>
      <c r="F22" s="5"/>
      <c r="G22" s="5"/>
    </row>
    <row r="23" spans="2:10" x14ac:dyDescent="0.25">
      <c r="B23" s="5"/>
      <c r="C23" s="7"/>
      <c r="D23" s="5"/>
      <c r="E23" s="5"/>
      <c r="F23" s="5"/>
      <c r="G23" s="5"/>
    </row>
    <row r="24" spans="2:10" x14ac:dyDescent="0.25">
      <c r="B24" s="5"/>
      <c r="C24" s="7"/>
      <c r="D24" s="5"/>
      <c r="E24" s="5"/>
      <c r="F24" s="5"/>
      <c r="G24" s="5"/>
    </row>
    <row r="25" spans="2:10" x14ac:dyDescent="0.25">
      <c r="B25" s="5"/>
      <c r="C25" s="7"/>
      <c r="D25" s="7"/>
      <c r="E25" s="5"/>
      <c r="F25" s="5"/>
      <c r="G25" s="5"/>
    </row>
    <row r="26" spans="2:10" x14ac:dyDescent="0.25">
      <c r="B26" s="5"/>
      <c r="C26" s="7"/>
      <c r="D26" s="5"/>
      <c r="E26" s="5"/>
      <c r="F26" s="5"/>
      <c r="G26" s="5"/>
    </row>
    <row r="27" spans="2:10" x14ac:dyDescent="0.25">
      <c r="B27" s="5"/>
      <c r="C27" s="7"/>
      <c r="D27" s="5"/>
      <c r="E27" s="5"/>
      <c r="F27" s="5"/>
      <c r="G27" s="5"/>
    </row>
    <row r="28" spans="2:10" x14ac:dyDescent="0.25">
      <c r="B28" s="5"/>
      <c r="C28" s="7"/>
      <c r="D28" s="5"/>
      <c r="E28" s="5"/>
      <c r="F28" s="5"/>
      <c r="G28" s="5"/>
    </row>
    <row r="29" spans="2:10" x14ac:dyDescent="0.25">
      <c r="B29" s="11"/>
      <c r="C29" s="7"/>
      <c r="D29" s="7"/>
      <c r="E29" s="5"/>
      <c r="F29" s="5"/>
      <c r="G29" s="5"/>
    </row>
    <row r="30" spans="2:10" x14ac:dyDescent="0.25">
      <c r="B30" s="5"/>
      <c r="C30" s="7"/>
      <c r="D30" s="5"/>
      <c r="E30" s="5"/>
      <c r="F30" s="5"/>
      <c r="G30" s="5"/>
    </row>
    <row r="31" spans="2:10" x14ac:dyDescent="0.25">
      <c r="B31" s="5"/>
      <c r="C31" s="7"/>
      <c r="D31" s="5"/>
      <c r="E31" s="5"/>
      <c r="F31" s="5"/>
      <c r="G31" s="5"/>
    </row>
    <row r="32" spans="2:10" x14ac:dyDescent="0.25">
      <c r="B32" s="5"/>
      <c r="C32" s="7"/>
      <c r="D32" s="5"/>
      <c r="E32" s="5"/>
      <c r="F32" s="5"/>
      <c r="G32" s="5"/>
    </row>
    <row r="33" spans="2:7" x14ac:dyDescent="0.25">
      <c r="B33" s="5"/>
      <c r="C33" s="7"/>
      <c r="D33" s="5"/>
      <c r="E33" s="5"/>
      <c r="F33" s="5"/>
      <c r="G33" s="5"/>
    </row>
    <row r="34" spans="2:7" x14ac:dyDescent="0.25">
      <c r="B34" s="5"/>
      <c r="C34" s="7"/>
      <c r="D34" s="5"/>
      <c r="E34" s="5"/>
      <c r="F34" s="5"/>
      <c r="G34" s="5"/>
    </row>
    <row r="35" spans="2:7" x14ac:dyDescent="0.25">
      <c r="B35" s="5"/>
      <c r="C35" s="7"/>
      <c r="D35" s="5"/>
      <c r="E35" s="5"/>
      <c r="F35" s="5"/>
      <c r="G35" s="5"/>
    </row>
    <row r="36" spans="2:7" x14ac:dyDescent="0.25">
      <c r="B36" s="5"/>
      <c r="C36" s="7"/>
      <c r="D36" s="5"/>
      <c r="E36" s="5"/>
      <c r="F36" s="5"/>
      <c r="G36" s="5"/>
    </row>
    <row r="37" spans="2:7" x14ac:dyDescent="0.25">
      <c r="B37" s="5"/>
      <c r="C37" s="7"/>
      <c r="D37" s="5"/>
      <c r="E37" s="5"/>
      <c r="F37" s="5"/>
      <c r="G37" s="5"/>
    </row>
    <row r="38" spans="2:7" x14ac:dyDescent="0.25">
      <c r="B38" s="5"/>
      <c r="C38" s="7"/>
      <c r="D38" s="5"/>
      <c r="E38" s="5"/>
      <c r="F38" s="5"/>
      <c r="G38" s="5"/>
    </row>
    <row r="39" spans="2:7" x14ac:dyDescent="0.25">
      <c r="B39" s="5"/>
      <c r="C39" s="7"/>
      <c r="D39" s="5"/>
      <c r="E39" s="5"/>
      <c r="F39" s="5"/>
      <c r="G39" s="5"/>
    </row>
    <row r="40" spans="2:7" x14ac:dyDescent="0.25">
      <c r="B40" s="5"/>
      <c r="C40" s="7"/>
      <c r="D40" s="5"/>
      <c r="E40" s="5"/>
      <c r="F40" s="5"/>
      <c r="G40" s="5"/>
    </row>
    <row r="41" spans="2:7" x14ac:dyDescent="0.25">
      <c r="B41" s="5"/>
      <c r="C41" s="7"/>
      <c r="D41" s="5"/>
      <c r="E41" s="5"/>
      <c r="F41" s="5"/>
      <c r="G41" s="5"/>
    </row>
    <row r="42" spans="2:7" x14ac:dyDescent="0.25">
      <c r="B42" s="5"/>
      <c r="C42" s="7"/>
      <c r="D42" s="5"/>
      <c r="E42" s="5"/>
      <c r="F42" s="5"/>
      <c r="G42" s="5"/>
    </row>
    <row r="43" spans="2:7" x14ac:dyDescent="0.25">
      <c r="B43" s="5"/>
      <c r="C43" s="7"/>
      <c r="D43" s="5"/>
      <c r="E43" s="5"/>
      <c r="F43" s="5"/>
      <c r="G43" s="5"/>
    </row>
    <row r="44" spans="2:7" x14ac:dyDescent="0.25">
      <c r="B44" s="5"/>
      <c r="C44" s="7"/>
      <c r="D44" s="5"/>
      <c r="E44" s="5"/>
      <c r="F44" s="5"/>
      <c r="G44" s="5"/>
    </row>
    <row r="45" spans="2:7" x14ac:dyDescent="0.25">
      <c r="B45" s="5"/>
      <c r="C45" s="7"/>
      <c r="D45" s="5"/>
      <c r="E45" s="5"/>
      <c r="F45" s="5"/>
      <c r="G45" s="5"/>
    </row>
    <row r="46" spans="2:7" x14ac:dyDescent="0.25">
      <c r="B46" s="5"/>
      <c r="C46" s="7"/>
      <c r="D46" s="5"/>
      <c r="E46" s="5"/>
      <c r="F46" s="5"/>
      <c r="G46" s="5"/>
    </row>
    <row r="47" spans="2:7" x14ac:dyDescent="0.25">
      <c r="B47" s="5"/>
      <c r="C47" s="7"/>
      <c r="D47" s="5"/>
      <c r="E47" s="5"/>
      <c r="F47" s="5"/>
      <c r="G47" s="5"/>
    </row>
    <row r="48" spans="2:7" x14ac:dyDescent="0.25">
      <c r="B48" s="5"/>
      <c r="C48" s="7"/>
      <c r="D48" s="5"/>
      <c r="E48" s="5"/>
      <c r="F48" s="5"/>
      <c r="G48" s="5"/>
    </row>
    <row r="49" spans="2:7" x14ac:dyDescent="0.25">
      <c r="B49" s="5"/>
      <c r="C49" s="7"/>
      <c r="D49" s="5"/>
      <c r="E49" s="5"/>
      <c r="F49" s="5"/>
      <c r="G49" s="5"/>
    </row>
    <row r="50" spans="2:7" x14ac:dyDescent="0.25">
      <c r="B50" s="5"/>
      <c r="C50" s="7"/>
      <c r="D50" s="5"/>
      <c r="E50" s="5"/>
      <c r="F50" s="5"/>
      <c r="G50" s="5"/>
    </row>
    <row r="51" spans="2:7" x14ac:dyDescent="0.25">
      <c r="B51" s="5"/>
      <c r="C51" s="7"/>
      <c r="D51" s="5"/>
      <c r="E51" s="5"/>
      <c r="F51" s="5"/>
      <c r="G51" s="5"/>
    </row>
    <row r="52" spans="2:7" x14ac:dyDescent="0.25">
      <c r="B52" s="5"/>
      <c r="C52" s="7"/>
      <c r="D52" s="5"/>
      <c r="E52" s="5"/>
      <c r="F52" s="5"/>
      <c r="G52" s="5"/>
    </row>
    <row r="53" spans="2:7" x14ac:dyDescent="0.25">
      <c r="B53" s="5"/>
      <c r="C53" s="7"/>
      <c r="D53" s="5"/>
      <c r="E53" s="5"/>
      <c r="F53" s="5"/>
      <c r="G53" s="5"/>
    </row>
    <row r="54" spans="2:7" x14ac:dyDescent="0.25">
      <c r="B54" s="5"/>
      <c r="C54" s="7"/>
      <c r="D54" s="5"/>
      <c r="E54" s="5"/>
      <c r="F54" s="5"/>
      <c r="G54" s="5"/>
    </row>
    <row r="55" spans="2:7" x14ac:dyDescent="0.25">
      <c r="B55" s="5"/>
      <c r="C55" s="7"/>
      <c r="D55" s="5"/>
      <c r="E55" s="5"/>
      <c r="F55" s="5"/>
      <c r="G55" s="5"/>
    </row>
    <row r="56" spans="2:7" x14ac:dyDescent="0.25">
      <c r="B56" s="5"/>
      <c r="C56" s="7"/>
      <c r="D56" s="5"/>
      <c r="E56" s="5"/>
      <c r="F56" s="5"/>
      <c r="G56" s="5"/>
    </row>
    <row r="57" spans="2:7" x14ac:dyDescent="0.25">
      <c r="B57" s="5"/>
      <c r="C57" s="7"/>
      <c r="D57" s="5"/>
      <c r="E57" s="5"/>
      <c r="F57" s="5"/>
      <c r="G57" s="5"/>
    </row>
    <row r="58" spans="2:7" x14ac:dyDescent="0.25">
      <c r="B58" s="5"/>
      <c r="C58" s="7"/>
      <c r="D58" s="5"/>
      <c r="E58" s="5"/>
      <c r="F58" s="5"/>
      <c r="G58" s="5"/>
    </row>
    <row r="59" spans="2:7" x14ac:dyDescent="0.25">
      <c r="B59" s="5"/>
      <c r="C59" s="7"/>
      <c r="D59" s="5"/>
      <c r="E59" s="5"/>
      <c r="F59" s="5"/>
      <c r="G59" s="5"/>
    </row>
    <row r="60" spans="2:7" x14ac:dyDescent="0.25">
      <c r="B60" s="5"/>
      <c r="C60" s="7"/>
      <c r="D60" s="5"/>
      <c r="E60" s="5"/>
      <c r="F60" s="5"/>
      <c r="G60" s="5"/>
    </row>
    <row r="61" spans="2:7" x14ac:dyDescent="0.25">
      <c r="B61" s="5"/>
      <c r="C61" s="7"/>
      <c r="D61" s="5"/>
      <c r="E61" s="5"/>
      <c r="F61" s="5"/>
      <c r="G61" s="5"/>
    </row>
    <row r="62" spans="2:7" x14ac:dyDescent="0.25">
      <c r="B62" s="5"/>
      <c r="C62" s="7"/>
      <c r="D62" s="5"/>
      <c r="E62" s="5"/>
      <c r="F62" s="5"/>
      <c r="G62" s="5"/>
    </row>
    <row r="63" spans="2:7" x14ac:dyDescent="0.25">
      <c r="B63" s="5"/>
      <c r="C63" s="7"/>
      <c r="D63" s="5"/>
      <c r="E63" s="5"/>
      <c r="F63" s="5"/>
      <c r="G63" s="5"/>
    </row>
    <row r="64" spans="2:7" x14ac:dyDescent="0.25">
      <c r="B64" s="5"/>
      <c r="C64" s="7"/>
      <c r="D64" s="5"/>
      <c r="E64" s="5"/>
      <c r="F64" s="5"/>
      <c r="G64" s="5"/>
    </row>
    <row r="65" spans="2:7" x14ac:dyDescent="0.25">
      <c r="B65" s="5"/>
      <c r="C65" s="7"/>
      <c r="D65" s="5"/>
      <c r="E65" s="5"/>
      <c r="F65" s="5"/>
      <c r="G65" s="5"/>
    </row>
    <row r="66" spans="2:7" x14ac:dyDescent="0.25">
      <c r="B66" s="5"/>
      <c r="C66" s="7"/>
      <c r="D66" s="5"/>
      <c r="E66" s="5"/>
      <c r="F66" s="5"/>
      <c r="G66" s="5"/>
    </row>
    <row r="67" spans="2:7" x14ac:dyDescent="0.25">
      <c r="B67" s="5"/>
      <c r="C67" s="7"/>
      <c r="D67" s="5"/>
      <c r="E67" s="5"/>
      <c r="F67" s="5"/>
      <c r="G67" s="5"/>
    </row>
    <row r="68" spans="2:7" x14ac:dyDescent="0.25">
      <c r="B68" s="5"/>
      <c r="C68" s="7"/>
      <c r="D68" s="5"/>
      <c r="E68" s="5"/>
      <c r="F68" s="5"/>
      <c r="G68" s="5"/>
    </row>
    <row r="69" spans="2:7" x14ac:dyDescent="0.25">
      <c r="B69" s="5"/>
      <c r="C69" s="7"/>
      <c r="D69" s="5"/>
      <c r="E69" s="5"/>
      <c r="F69" s="5"/>
      <c r="G69" s="5"/>
    </row>
    <row r="70" spans="2:7" x14ac:dyDescent="0.25">
      <c r="B70" s="5"/>
      <c r="C70" s="7"/>
      <c r="D70" s="5"/>
      <c r="E70" s="5"/>
      <c r="F70" s="5"/>
      <c r="G70" s="5"/>
    </row>
    <row r="71" spans="2:7" x14ac:dyDescent="0.25">
      <c r="B71" s="5"/>
      <c r="C71" s="7"/>
      <c r="D71" s="5"/>
      <c r="E71" s="5"/>
      <c r="F71" s="5"/>
      <c r="G71" s="5"/>
    </row>
    <row r="72" spans="2:7" x14ac:dyDescent="0.25">
      <c r="B72" s="5"/>
      <c r="C72" s="7"/>
      <c r="D72" s="5"/>
      <c r="E72" s="5"/>
      <c r="F72" s="5"/>
      <c r="G72" s="5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B00-000000000000}">
          <x14:formula1>
            <xm:f>'2022'!$B$3:$B$19</xm:f>
          </x14:formula1>
          <xm:sqref>A2:A72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J72"/>
  <sheetViews>
    <sheetView workbookViewId="0">
      <selection activeCell="L12" sqref="L12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8.140625" bestFit="1" customWidth="1"/>
    <col min="5" max="5" width="9.42578125" bestFit="1" customWidth="1"/>
    <col min="6" max="6" width="9.85546875" bestFit="1" customWidth="1"/>
    <col min="7" max="7" width="21.42578125" bestFit="1" customWidth="1"/>
    <col min="8" max="8" width="1.42578125" customWidth="1"/>
    <col min="9" max="9" width="13.85546875" bestFit="1" customWidth="1"/>
    <col min="10" max="10" width="10.85546875" bestFit="1" customWidth="1"/>
  </cols>
  <sheetData>
    <row r="1" spans="1:10" s="9" customFormat="1" x14ac:dyDescent="0.25">
      <c r="A1" s="9" t="s">
        <v>0</v>
      </c>
      <c r="B1" s="9" t="s">
        <v>23</v>
      </c>
      <c r="C1" s="10" t="s">
        <v>24</v>
      </c>
      <c r="D1" s="9" t="s">
        <v>36</v>
      </c>
      <c r="E1" s="9" t="s">
        <v>35</v>
      </c>
      <c r="F1" s="9" t="s">
        <v>34</v>
      </c>
      <c r="G1" s="9" t="s">
        <v>33</v>
      </c>
      <c r="I1" s="9" t="s">
        <v>0</v>
      </c>
      <c r="J1" s="9" t="s">
        <v>18</v>
      </c>
    </row>
    <row r="2" spans="1:10" x14ac:dyDescent="0.25">
      <c r="B2" s="5"/>
      <c r="C2" s="7"/>
      <c r="D2" s="5"/>
      <c r="E2" s="5"/>
      <c r="F2" s="5"/>
      <c r="G2" s="5"/>
      <c r="I2" t="s">
        <v>1</v>
      </c>
      <c r="J2" s="5">
        <f>SUMIF(tblJaneiro12141618202269252729[Categoria],Tabela3131517192123824262830[[#This Row],[Categoria]],tblJaneiro12141618202269252729[Valor])</f>
        <v>0</v>
      </c>
    </row>
    <row r="3" spans="1:10" x14ac:dyDescent="0.25">
      <c r="B3" s="5"/>
      <c r="C3" s="7"/>
      <c r="D3" s="5"/>
      <c r="E3" s="5"/>
      <c r="F3" s="5"/>
      <c r="G3" s="5"/>
      <c r="I3" t="s">
        <v>2</v>
      </c>
      <c r="J3" s="5">
        <f>SUMIF(tblJaneiro12141618202269252729[Categoria],Tabela3131517192123824262830[[#This Row],[Categoria]],tblJaneiro12141618202269252729[Valor])</f>
        <v>0</v>
      </c>
    </row>
    <row r="4" spans="1:10" x14ac:dyDescent="0.25">
      <c r="B4" s="5"/>
      <c r="C4" s="7"/>
      <c r="D4" s="5"/>
      <c r="E4" s="5"/>
      <c r="F4" s="5"/>
      <c r="G4" s="5"/>
      <c r="I4" t="s">
        <v>25</v>
      </c>
      <c r="J4" s="5">
        <f>SUMIF(tblJaneiro12141618202269252729[Categoria],Tabela3131517192123824262830[[#This Row],[Categoria]],tblJaneiro12141618202269252729[Valor])</f>
        <v>0</v>
      </c>
    </row>
    <row r="5" spans="1:10" x14ac:dyDescent="0.25">
      <c r="B5" s="5"/>
      <c r="C5" s="7"/>
      <c r="D5" s="5"/>
      <c r="E5" s="5"/>
      <c r="F5" s="5"/>
      <c r="G5" s="5"/>
      <c r="I5" t="s">
        <v>26</v>
      </c>
      <c r="J5" s="5">
        <f>SUMIF(tblJaneiro12141618202269252729[Categoria],Tabela3131517192123824262830[[#This Row],[Categoria]],tblJaneiro12141618202269252729[Valor])</f>
        <v>0</v>
      </c>
    </row>
    <row r="6" spans="1:10" x14ac:dyDescent="0.25">
      <c r="B6" s="5"/>
      <c r="C6" s="7"/>
      <c r="D6" s="5"/>
      <c r="E6" s="5"/>
      <c r="F6" s="5"/>
      <c r="G6" s="5"/>
      <c r="I6" t="s">
        <v>27</v>
      </c>
      <c r="J6" s="5">
        <f>SUMIF(tblJaneiro12141618202269252729[Categoria],Tabela3131517192123824262830[[#This Row],[Categoria]],tblJaneiro12141618202269252729[Valor])</f>
        <v>0</v>
      </c>
    </row>
    <row r="7" spans="1:10" x14ac:dyDescent="0.25">
      <c r="B7" s="5"/>
      <c r="C7" s="7"/>
      <c r="D7" s="5"/>
      <c r="E7" s="5"/>
      <c r="F7" s="5"/>
      <c r="G7" s="5"/>
      <c r="I7" t="s">
        <v>28</v>
      </c>
      <c r="J7" s="5">
        <f>SUMIF(tblJaneiro12141618202269252729[Categoria],Tabela3131517192123824262830[[#This Row],[Categoria]],tblJaneiro12141618202269252729[Valor])</f>
        <v>0</v>
      </c>
    </row>
    <row r="8" spans="1:10" x14ac:dyDescent="0.25">
      <c r="B8" s="5"/>
      <c r="C8" s="7"/>
      <c r="D8" s="5"/>
      <c r="E8" s="5"/>
      <c r="F8" s="5"/>
      <c r="G8" s="5"/>
      <c r="I8" t="s">
        <v>29</v>
      </c>
      <c r="J8" s="5">
        <f>SUMIF(tblJaneiro12141618202269252729[Categoria],Tabela3131517192123824262830[[#This Row],[Categoria]],tblJaneiro12141618202269252729[Valor])</f>
        <v>0</v>
      </c>
    </row>
    <row r="9" spans="1:10" x14ac:dyDescent="0.25">
      <c r="B9" s="5"/>
      <c r="C9" s="7"/>
      <c r="D9" s="5"/>
      <c r="E9" s="5"/>
      <c r="F9" s="5"/>
      <c r="G9" s="5"/>
      <c r="I9" t="s">
        <v>30</v>
      </c>
      <c r="J9" s="5">
        <f>SUMIF(tblJaneiro12141618202269252729[Categoria],Tabela3131517192123824262830[[#This Row],[Categoria]],tblJaneiro12141618202269252729[Valor])</f>
        <v>0</v>
      </c>
    </row>
    <row r="10" spans="1:10" x14ac:dyDescent="0.25">
      <c r="B10" s="5"/>
      <c r="C10" s="7"/>
      <c r="D10" s="5"/>
      <c r="E10" s="5"/>
      <c r="F10" s="5"/>
      <c r="G10" s="5"/>
      <c r="I10" t="s">
        <v>19</v>
      </c>
      <c r="J10" s="5">
        <f>SUMIF(tblJaneiro12141618202269252729[Categoria],Tabela3131517192123824262830[[#This Row],[Categoria]],tblJaneiro12141618202269252729[Valor])</f>
        <v>0</v>
      </c>
    </row>
    <row r="11" spans="1:10" x14ac:dyDescent="0.25">
      <c r="B11" s="5"/>
      <c r="C11" s="7"/>
      <c r="D11" s="5"/>
      <c r="E11" s="5"/>
      <c r="F11" s="5"/>
      <c r="G11" s="5"/>
      <c r="I11" t="s">
        <v>32</v>
      </c>
      <c r="J11" s="5">
        <f>SUMIF(tblJaneiro12141618202269252729[Categoria],Tabela3131517192123824262830[[#This Row],[Categoria]],tblJaneiro12141618202269252729[Valor])</f>
        <v>0</v>
      </c>
    </row>
    <row r="12" spans="1:10" x14ac:dyDescent="0.25">
      <c r="B12" s="5"/>
      <c r="C12" s="7"/>
      <c r="D12" s="5"/>
      <c r="E12" s="5"/>
      <c r="F12" s="5"/>
      <c r="G12" s="5"/>
      <c r="I12" t="s">
        <v>31</v>
      </c>
      <c r="J12" s="5">
        <f>SUMIF(tblJaneiro12141618202269252729[Categoria],Tabela3131517192123824262830[[#This Row],[Categoria]],tblJaneiro12141618202269252729[Valor])</f>
        <v>0</v>
      </c>
    </row>
    <row r="13" spans="1:10" x14ac:dyDescent="0.25">
      <c r="B13" s="5"/>
      <c r="C13" s="7"/>
      <c r="D13" s="5"/>
      <c r="E13" s="5"/>
      <c r="F13" s="5"/>
      <c r="G13" s="5"/>
      <c r="I13" t="s">
        <v>37</v>
      </c>
      <c r="J13" s="5">
        <f>SUMIF(tblJaneiro12141618202269252729[Categoria],Tabela3131517192123824262830[[#This Row],[Categoria]],tblJaneiro12141618202269252729[Valor])</f>
        <v>0</v>
      </c>
    </row>
    <row r="14" spans="1:10" x14ac:dyDescent="0.25">
      <c r="B14" s="5"/>
      <c r="C14" s="7"/>
      <c r="D14" s="5"/>
      <c r="E14" s="5"/>
      <c r="F14" s="5"/>
      <c r="G14" s="5"/>
      <c r="I14" t="s">
        <v>38</v>
      </c>
      <c r="J14" s="5">
        <f>SUMIF(tblJaneiro12141618202269252729[Categoria],Tabela3131517192123824262830[[#This Row],[Categoria]],tblJaneiro12141618202269252729[Valor])</f>
        <v>0</v>
      </c>
    </row>
    <row r="15" spans="1:10" x14ac:dyDescent="0.25">
      <c r="B15" s="5"/>
      <c r="C15" s="7"/>
      <c r="D15" s="5"/>
      <c r="E15" s="5"/>
      <c r="F15" s="5"/>
      <c r="G15" s="5"/>
      <c r="I15" t="s">
        <v>39</v>
      </c>
      <c r="J15" s="5">
        <f>SUMIF(tblJaneiro12141618202269252729[Categoria],Tabela3131517192123824262830[[#This Row],[Categoria]],tblJaneiro12141618202269252729[Valor])</f>
        <v>0</v>
      </c>
    </row>
    <row r="16" spans="1:10" x14ac:dyDescent="0.25">
      <c r="B16" s="5"/>
      <c r="C16" s="7"/>
      <c r="D16" s="5"/>
      <c r="E16" s="5"/>
      <c r="F16" s="5"/>
      <c r="G16" s="5"/>
      <c r="I16" t="s">
        <v>40</v>
      </c>
      <c r="J16" s="5">
        <f>SUMIF(tblJaneiro12141618202269252729[Categoria],Tabela3131517192123824262830[[#This Row],[Categoria]],tblJaneiro12141618202269252729[Valor])</f>
        <v>0</v>
      </c>
    </row>
    <row r="17" spans="2:10" x14ac:dyDescent="0.25">
      <c r="B17" s="5"/>
      <c r="C17" s="7"/>
      <c r="D17" s="5"/>
      <c r="E17" s="5"/>
      <c r="F17" s="5"/>
      <c r="G17" s="5"/>
      <c r="I17" t="s">
        <v>41</v>
      </c>
      <c r="J17" s="5">
        <f>SUMIF(tblJaneiro12141618202269252729[Categoria],Tabela3131517192123824262830[[#This Row],[Categoria]],tblJaneiro12141618202269252729[Valor])</f>
        <v>0</v>
      </c>
    </row>
    <row r="18" spans="2:10" x14ac:dyDescent="0.25">
      <c r="B18" s="5"/>
      <c r="C18" s="7"/>
      <c r="D18" s="5"/>
      <c r="E18" s="5"/>
      <c r="F18" s="5"/>
      <c r="G18" s="5"/>
      <c r="I18" t="s">
        <v>42</v>
      </c>
      <c r="J18" s="5">
        <f>SUMIF(tblJaneiro12141618202269252729[Categoria],Tabela3131517192123824262830[[#This Row],[Categoria]],tblJaneiro12141618202269252729[Valor])</f>
        <v>0</v>
      </c>
    </row>
    <row r="19" spans="2:10" x14ac:dyDescent="0.25">
      <c r="B19" s="5"/>
      <c r="C19" s="7"/>
      <c r="D19" s="5"/>
      <c r="E19" s="5"/>
      <c r="F19" s="5"/>
      <c r="G19" s="5"/>
      <c r="I19" t="s">
        <v>18</v>
      </c>
      <c r="J19" s="12">
        <f>SUBTOTAL(109,Tabela3131517192123824262830[Total])</f>
        <v>0</v>
      </c>
    </row>
    <row r="20" spans="2:10" x14ac:dyDescent="0.25">
      <c r="B20" s="5"/>
      <c r="C20" s="7"/>
      <c r="D20" s="5"/>
      <c r="E20" s="5"/>
      <c r="F20" s="5"/>
      <c r="G20" s="5"/>
    </row>
    <row r="21" spans="2:10" x14ac:dyDescent="0.25">
      <c r="B21" s="5"/>
      <c r="C21" s="7"/>
      <c r="D21" s="5"/>
      <c r="E21" s="5"/>
      <c r="F21" s="5"/>
      <c r="G21" s="5"/>
    </row>
    <row r="22" spans="2:10" x14ac:dyDescent="0.25">
      <c r="B22" s="5"/>
      <c r="C22" s="7"/>
      <c r="D22" s="5"/>
      <c r="E22" s="5"/>
      <c r="F22" s="5"/>
      <c r="G22" s="5"/>
    </row>
    <row r="23" spans="2:10" x14ac:dyDescent="0.25">
      <c r="B23" s="5"/>
      <c r="C23" s="7"/>
      <c r="D23" s="5"/>
      <c r="E23" s="5"/>
      <c r="F23" s="5"/>
      <c r="G23" s="5"/>
    </row>
    <row r="24" spans="2:10" x14ac:dyDescent="0.25">
      <c r="B24" s="5"/>
      <c r="C24" s="7"/>
      <c r="D24" s="5"/>
      <c r="E24" s="5"/>
      <c r="F24" s="5"/>
      <c r="G24" s="5"/>
    </row>
    <row r="25" spans="2:10" x14ac:dyDescent="0.25">
      <c r="B25" s="5"/>
      <c r="C25" s="7"/>
      <c r="D25" s="7"/>
      <c r="E25" s="5"/>
      <c r="F25" s="5"/>
      <c r="G25" s="5"/>
    </row>
    <row r="26" spans="2:10" x14ac:dyDescent="0.25">
      <c r="B26" s="5"/>
      <c r="C26" s="7"/>
      <c r="D26" s="5"/>
      <c r="E26" s="5"/>
      <c r="F26" s="5"/>
      <c r="G26" s="5"/>
    </row>
    <row r="27" spans="2:10" x14ac:dyDescent="0.25">
      <c r="B27" s="5"/>
      <c r="C27" s="7"/>
      <c r="D27" s="5"/>
      <c r="E27" s="5"/>
      <c r="F27" s="5"/>
      <c r="G27" s="5"/>
    </row>
    <row r="28" spans="2:10" x14ac:dyDescent="0.25">
      <c r="B28" s="5"/>
      <c r="C28" s="7"/>
      <c r="D28" s="5"/>
      <c r="E28" s="5"/>
      <c r="F28" s="5"/>
      <c r="G28" s="5"/>
    </row>
    <row r="29" spans="2:10" x14ac:dyDescent="0.25">
      <c r="B29" s="11"/>
      <c r="C29" s="7"/>
      <c r="D29" s="7"/>
      <c r="E29" s="5"/>
      <c r="F29" s="5"/>
      <c r="G29" s="5"/>
    </row>
    <row r="30" spans="2:10" x14ac:dyDescent="0.25">
      <c r="B30" s="5"/>
      <c r="C30" s="7"/>
      <c r="D30" s="5"/>
      <c r="E30" s="5"/>
      <c r="F30" s="5"/>
      <c r="G30" s="5"/>
    </row>
    <row r="31" spans="2:10" x14ac:dyDescent="0.25">
      <c r="B31" s="5"/>
      <c r="C31" s="7"/>
      <c r="D31" s="5"/>
      <c r="E31" s="5"/>
      <c r="F31" s="5"/>
      <c r="G31" s="5"/>
    </row>
    <row r="32" spans="2:10" x14ac:dyDescent="0.25">
      <c r="B32" s="5"/>
      <c r="C32" s="7"/>
      <c r="D32" s="5"/>
      <c r="E32" s="5"/>
      <c r="F32" s="5"/>
      <c r="G32" s="5"/>
    </row>
    <row r="33" spans="2:7" x14ac:dyDescent="0.25">
      <c r="B33" s="5"/>
      <c r="C33" s="7"/>
      <c r="D33" s="5"/>
      <c r="E33" s="5"/>
      <c r="F33" s="5"/>
      <c r="G33" s="5"/>
    </row>
    <row r="34" spans="2:7" x14ac:dyDescent="0.25">
      <c r="B34" s="5"/>
      <c r="C34" s="7"/>
      <c r="D34" s="5"/>
      <c r="E34" s="5"/>
      <c r="F34" s="5"/>
      <c r="G34" s="5"/>
    </row>
    <row r="35" spans="2:7" x14ac:dyDescent="0.25">
      <c r="B35" s="5"/>
      <c r="C35" s="7"/>
      <c r="D35" s="5"/>
      <c r="E35" s="5"/>
      <c r="F35" s="5"/>
      <c r="G35" s="5"/>
    </row>
    <row r="36" spans="2:7" x14ac:dyDescent="0.25">
      <c r="B36" s="5"/>
      <c r="C36" s="7"/>
      <c r="D36" s="5"/>
      <c r="E36" s="5"/>
      <c r="F36" s="5"/>
      <c r="G36" s="5"/>
    </row>
    <row r="37" spans="2:7" x14ac:dyDescent="0.25">
      <c r="B37" s="5"/>
      <c r="C37" s="7"/>
      <c r="D37" s="5"/>
      <c r="E37" s="5"/>
      <c r="F37" s="5"/>
      <c r="G37" s="5"/>
    </row>
    <row r="38" spans="2:7" x14ac:dyDescent="0.25">
      <c r="B38" s="5"/>
      <c r="C38" s="7"/>
      <c r="D38" s="5"/>
      <c r="E38" s="5"/>
      <c r="F38" s="5"/>
      <c r="G38" s="5"/>
    </row>
    <row r="39" spans="2:7" x14ac:dyDescent="0.25">
      <c r="B39" s="5"/>
      <c r="C39" s="7"/>
      <c r="D39" s="5"/>
      <c r="E39" s="5"/>
      <c r="F39" s="5"/>
      <c r="G39" s="5"/>
    </row>
    <row r="40" spans="2:7" x14ac:dyDescent="0.25">
      <c r="B40" s="5"/>
      <c r="C40" s="7"/>
      <c r="D40" s="5"/>
      <c r="E40" s="5"/>
      <c r="F40" s="5"/>
      <c r="G40" s="5"/>
    </row>
    <row r="41" spans="2:7" x14ac:dyDescent="0.25">
      <c r="B41" s="5"/>
      <c r="C41" s="7"/>
      <c r="D41" s="5"/>
      <c r="E41" s="5"/>
      <c r="F41" s="5"/>
      <c r="G41" s="5"/>
    </row>
    <row r="42" spans="2:7" x14ac:dyDescent="0.25">
      <c r="B42" s="5"/>
      <c r="C42" s="7"/>
      <c r="D42" s="5"/>
      <c r="E42" s="5"/>
      <c r="F42" s="5"/>
      <c r="G42" s="5"/>
    </row>
    <row r="43" spans="2:7" x14ac:dyDescent="0.25">
      <c r="B43" s="5"/>
      <c r="C43" s="7"/>
      <c r="D43" s="5"/>
      <c r="E43" s="5"/>
      <c r="F43" s="5"/>
      <c r="G43" s="5"/>
    </row>
    <row r="44" spans="2:7" x14ac:dyDescent="0.25">
      <c r="B44" s="5"/>
      <c r="C44" s="7"/>
      <c r="D44" s="5"/>
      <c r="E44" s="5"/>
      <c r="F44" s="5"/>
      <c r="G44" s="5"/>
    </row>
    <row r="45" spans="2:7" x14ac:dyDescent="0.25">
      <c r="B45" s="5"/>
      <c r="C45" s="7"/>
      <c r="D45" s="5"/>
      <c r="E45" s="5"/>
      <c r="F45" s="5"/>
      <c r="G45" s="5"/>
    </row>
    <row r="46" spans="2:7" x14ac:dyDescent="0.25">
      <c r="B46" s="5"/>
      <c r="C46" s="7"/>
      <c r="D46" s="5"/>
      <c r="E46" s="5"/>
      <c r="F46" s="5"/>
      <c r="G46" s="5"/>
    </row>
    <row r="47" spans="2:7" x14ac:dyDescent="0.25">
      <c r="B47" s="5"/>
      <c r="C47" s="7"/>
      <c r="D47" s="5"/>
      <c r="E47" s="5"/>
      <c r="F47" s="5"/>
      <c r="G47" s="5"/>
    </row>
    <row r="48" spans="2:7" x14ac:dyDescent="0.25">
      <c r="B48" s="5"/>
      <c r="C48" s="7"/>
      <c r="D48" s="5"/>
      <c r="E48" s="5"/>
      <c r="F48" s="5"/>
      <c r="G48" s="5"/>
    </row>
    <row r="49" spans="2:7" x14ac:dyDescent="0.25">
      <c r="B49" s="5"/>
      <c r="C49" s="7"/>
      <c r="D49" s="5"/>
      <c r="E49" s="5"/>
      <c r="F49" s="5"/>
      <c r="G49" s="5"/>
    </row>
    <row r="50" spans="2:7" x14ac:dyDescent="0.25">
      <c r="B50" s="5"/>
      <c r="C50" s="7"/>
      <c r="D50" s="5"/>
      <c r="E50" s="5"/>
      <c r="F50" s="5"/>
      <c r="G50" s="5"/>
    </row>
    <row r="51" spans="2:7" x14ac:dyDescent="0.25">
      <c r="B51" s="5"/>
      <c r="C51" s="7"/>
      <c r="D51" s="5"/>
      <c r="E51" s="5"/>
      <c r="F51" s="5"/>
      <c r="G51" s="5"/>
    </row>
    <row r="52" spans="2:7" x14ac:dyDescent="0.25">
      <c r="B52" s="5"/>
      <c r="C52" s="7"/>
      <c r="D52" s="5"/>
      <c r="E52" s="5"/>
      <c r="F52" s="5"/>
      <c r="G52" s="5"/>
    </row>
    <row r="53" spans="2:7" x14ac:dyDescent="0.25">
      <c r="B53" s="5"/>
      <c r="C53" s="7"/>
      <c r="D53" s="5"/>
      <c r="E53" s="5"/>
      <c r="F53" s="5"/>
      <c r="G53" s="5"/>
    </row>
    <row r="54" spans="2:7" x14ac:dyDescent="0.25">
      <c r="B54" s="5"/>
      <c r="C54" s="7"/>
      <c r="D54" s="5"/>
      <c r="E54" s="5"/>
      <c r="F54" s="5"/>
      <c r="G54" s="5"/>
    </row>
    <row r="55" spans="2:7" x14ac:dyDescent="0.25">
      <c r="B55" s="5"/>
      <c r="C55" s="7"/>
      <c r="D55" s="5"/>
      <c r="E55" s="5"/>
      <c r="F55" s="5"/>
      <c r="G55" s="5"/>
    </row>
    <row r="56" spans="2:7" x14ac:dyDescent="0.25">
      <c r="B56" s="5"/>
      <c r="C56" s="7"/>
      <c r="D56" s="5"/>
      <c r="E56" s="5"/>
      <c r="F56" s="5"/>
      <c r="G56" s="5"/>
    </row>
    <row r="57" spans="2:7" x14ac:dyDescent="0.25">
      <c r="B57" s="5"/>
      <c r="C57" s="7"/>
      <c r="D57" s="5"/>
      <c r="E57" s="5"/>
      <c r="F57" s="5"/>
      <c r="G57" s="5"/>
    </row>
    <row r="58" spans="2:7" x14ac:dyDescent="0.25">
      <c r="B58" s="5"/>
      <c r="C58" s="7"/>
      <c r="D58" s="5"/>
      <c r="E58" s="5"/>
      <c r="F58" s="5"/>
      <c r="G58" s="5"/>
    </row>
    <row r="59" spans="2:7" x14ac:dyDescent="0.25">
      <c r="B59" s="5"/>
      <c r="C59" s="7"/>
      <c r="D59" s="5"/>
      <c r="E59" s="5"/>
      <c r="F59" s="5"/>
      <c r="G59" s="5"/>
    </row>
    <row r="60" spans="2:7" x14ac:dyDescent="0.25">
      <c r="B60" s="5"/>
      <c r="C60" s="7"/>
      <c r="D60" s="5"/>
      <c r="E60" s="5"/>
      <c r="F60" s="5"/>
      <c r="G60" s="5"/>
    </row>
    <row r="61" spans="2:7" x14ac:dyDescent="0.25">
      <c r="B61" s="5"/>
      <c r="C61" s="7"/>
      <c r="D61" s="5"/>
      <c r="E61" s="5"/>
      <c r="F61" s="5"/>
      <c r="G61" s="5"/>
    </row>
    <row r="62" spans="2:7" x14ac:dyDescent="0.25">
      <c r="B62" s="5"/>
      <c r="C62" s="7"/>
      <c r="D62" s="5"/>
      <c r="E62" s="5"/>
      <c r="F62" s="5"/>
      <c r="G62" s="5"/>
    </row>
    <row r="63" spans="2:7" x14ac:dyDescent="0.25">
      <c r="B63" s="5"/>
      <c r="C63" s="7"/>
      <c r="D63" s="5"/>
      <c r="E63" s="5"/>
      <c r="F63" s="5"/>
      <c r="G63" s="5"/>
    </row>
    <row r="64" spans="2:7" x14ac:dyDescent="0.25">
      <c r="B64" s="5"/>
      <c r="C64" s="7"/>
      <c r="D64" s="5"/>
      <c r="E64" s="5"/>
      <c r="F64" s="5"/>
      <c r="G64" s="5"/>
    </row>
    <row r="65" spans="2:7" x14ac:dyDescent="0.25">
      <c r="B65" s="5"/>
      <c r="C65" s="7"/>
      <c r="D65" s="5"/>
      <c r="E65" s="5"/>
      <c r="F65" s="5"/>
      <c r="G65" s="5"/>
    </row>
    <row r="66" spans="2:7" x14ac:dyDescent="0.25">
      <c r="B66" s="5"/>
      <c r="C66" s="7"/>
      <c r="D66" s="5"/>
      <c r="E66" s="5"/>
      <c r="F66" s="5"/>
      <c r="G66" s="5"/>
    </row>
    <row r="67" spans="2:7" x14ac:dyDescent="0.25">
      <c r="B67" s="5"/>
      <c r="C67" s="7"/>
      <c r="D67" s="5"/>
      <c r="E67" s="5"/>
      <c r="F67" s="5"/>
      <c r="G67" s="5"/>
    </row>
    <row r="68" spans="2:7" x14ac:dyDescent="0.25">
      <c r="B68" s="5"/>
      <c r="C68" s="7"/>
      <c r="D68" s="5"/>
      <c r="E68" s="5"/>
      <c r="F68" s="5"/>
      <c r="G68" s="5"/>
    </row>
    <row r="69" spans="2:7" x14ac:dyDescent="0.25">
      <c r="B69" s="5"/>
      <c r="C69" s="7"/>
      <c r="D69" s="5"/>
      <c r="E69" s="5"/>
      <c r="F69" s="5"/>
      <c r="G69" s="5"/>
    </row>
    <row r="70" spans="2:7" x14ac:dyDescent="0.25">
      <c r="B70" s="5"/>
      <c r="C70" s="7"/>
      <c r="D70" s="5"/>
      <c r="E70" s="5"/>
      <c r="F70" s="5"/>
      <c r="G70" s="5"/>
    </row>
    <row r="71" spans="2:7" x14ac:dyDescent="0.25">
      <c r="B71" s="5"/>
      <c r="C71" s="7"/>
      <c r="D71" s="5"/>
      <c r="E71" s="5"/>
      <c r="F71" s="5"/>
      <c r="G71" s="5"/>
    </row>
    <row r="72" spans="2:7" x14ac:dyDescent="0.25">
      <c r="B72" s="5"/>
      <c r="C72" s="7"/>
      <c r="D72" s="5"/>
      <c r="E72" s="5"/>
      <c r="F72" s="5"/>
      <c r="G72" s="5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C00-000000000000}">
          <x14:formula1>
            <xm:f>'2022'!$B$3:$B$19</xm:f>
          </x14:formula1>
          <xm:sqref>A2:A72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2022</vt:lpstr>
      <vt:lpstr>Jan</vt:lpstr>
      <vt:lpstr>Fev</vt:lpstr>
      <vt:lpstr>Mar</vt:lpstr>
      <vt:lpstr>Abr</vt:lpstr>
      <vt:lpstr>Mai</vt:lpstr>
      <vt:lpstr>Jun</vt:lpstr>
      <vt:lpstr>Jul</vt:lpstr>
      <vt:lpstr>Ago</vt:lpstr>
      <vt:lpstr>Set</vt:lpstr>
      <vt:lpstr>Out</vt:lpstr>
      <vt:lpstr>Nov</vt:lpstr>
      <vt:lpstr>Dez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 Alves</dc:creator>
  <cp:lastModifiedBy>Alves, Luis</cp:lastModifiedBy>
  <dcterms:created xsi:type="dcterms:W3CDTF">2012-05-27T21:47:25Z</dcterms:created>
  <dcterms:modified xsi:type="dcterms:W3CDTF">2022-09-20T10:16:46Z</dcterms:modified>
</cp:coreProperties>
</file>