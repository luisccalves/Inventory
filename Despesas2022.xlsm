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78D9E169-F311-4518-948D-CE283C49699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definedNames>
    <definedName name="_xlchart.v1.0" hidden="1">'2022'!$B$3:$B$20</definedName>
    <definedName name="_xlchart.v1.1" hidden="1">'2022'!$O$2</definedName>
    <definedName name="_xlchart.v1.2" hidden="1">'2022'!$O$3:$O$20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<sst xmlns="http://schemas.openxmlformats.org/spreadsheetml/2006/main" count="421" uniqueCount="53">
  <si>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</si>
  <si>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</si>
  <si>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</si>
  <si>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</si>
  <si>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</si>
  <si>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</si>
  <si>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</si>
  <si>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</si>
  <si>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</si>
  <si>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</si>
  <si>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</si>
  <si>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</si>
  <si>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</si>
  <si>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</si>
  <si>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</si>
  <si>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</si>
  <si>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</si>
  <si>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</si>
  <si>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</si>
  <si>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</si>
  <si>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</si>
  <si>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</si>
  <si>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</si>
  <si>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</si>
  <si>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</si>
  <si>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</si>
  <si>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</si>
  <si>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</si>
  <si>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</si>
  <si>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</si>
  <si>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</si>
  <si>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</si>
  <si>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</si>
  <si>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</si>
  <si>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</si>
  <si>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</si>
  <si>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</si>
  <si>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</si>
  <si>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</si>
  <si>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</si>
  <si>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</si>
  <si>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</si>
  <si>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</si>
  <si>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</si>
  <si>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</si>
  <si>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</si>
  <si>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</si>
  <si>
    <t>vending otis</t>
  </si>
  <si>
    <t>Férias</t>
  </si>
  <si>
    <t>Faculdade</t>
  </si>
  <si>
    <t>Euromilhões</t>
  </si>
  <si>
    <t>wells - liquido para as lentes</t>
  </si>
  <si>
    <t>mafra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</si>
</sst>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6"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19.649999999999999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9.1000000000000014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Férias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Faculdade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140.94999999999999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119.08000000000001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10.44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1382.05</c:v>
                </c:pt>
                <c:pt idx="9">
                  <c:v>1382.05</c:v>
                </c:pt>
                <c:pt idx="10">
                  <c:v>1382.05</c:v>
                </c:pt>
                <c:pt idx="11">
                  <c:v>1382.05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Total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</a:rPr>
            <a:t>Total</a:t>
          </a:r>
        </a:p>
      </cx:txPr>
    </cx:title>
    <cx:plotArea>
      <cx:plotAreaRegion>
        <cx:series layoutId="sunburst" uniqueId="{7DA2EB92-AE66-4714-9777-E7F790F823D7}">
          <cx:tx>
            <cx:txData>
              <cx:f>_xlchart.v1.1</cx:f>
              <cx:v>Total</cx:v>
            </cx:txData>
          </cx:tx>
          <cx:dataLabels pos="ctr">
            <cx:visibility seriesName="0" categoryName="1" value="1"/>
          </cx:dataLabels>
          <cx:dataId val="0"/>
          <cx:layoutPr>
            <cx:parentLabelLayout val="overlapping"/>
          </cx:layoutPr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7">
  <a:schemeClr val="accent5"/>
  <a:schemeClr val="accent5"/>
  <a:schemeClr val="accent5"/>
  <a:schemeClr val="accent5"/>
  <a:schemeClr val="accent5"/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8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</xdr:colOff>
      <xdr:row>1</xdr:row>
      <xdr:rowOff>0</xdr:rowOff>
    </xdr:from>
    <xdr:to>
      <xdr:col>35</xdr:col>
      <xdr:colOff>0</xdr:colOff>
      <xdr:row>44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9476" y="333375"/>
              <a:ext cx="10829924" cy="833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4" dataDxfId="173" totalsRowDxfId="172">
  <tableColumns count="15">
    <tableColumn id="1" xr3:uid="{00000000-0010-0000-0000-000001000000}" name="Categoria" totalsRowLabel="Total" dataDxfId="171"/>
    <tableColumn id="2" xr3:uid="{00000000-0010-0000-0000-000002000000}" name="Jan" totalsRowFunction="sum" dataDxfId="170" totalsRowDxfId="13"/>
    <tableColumn id="3" xr3:uid="{00000000-0010-0000-0000-000003000000}" name="Fev" totalsRowFunction="sum" dataDxfId="169" totalsRowDxfId="12"/>
    <tableColumn id="4" xr3:uid="{00000000-0010-0000-0000-000004000000}" name="Mar" totalsRowFunction="sum" dataDxfId="168" totalsRowDxfId="11"/>
    <tableColumn id="5" xr3:uid="{00000000-0010-0000-0000-000005000000}" name="Abr" totalsRowFunction="sum" dataDxfId="167" totalsRowDxfId="10"/>
    <tableColumn id="6" xr3:uid="{00000000-0010-0000-0000-000006000000}" name="Mai" totalsRowFunction="sum" dataDxfId="166" totalsRowDxfId="9"/>
    <tableColumn id="7" xr3:uid="{00000000-0010-0000-0000-000007000000}" name="Jun" totalsRowFunction="sum" dataDxfId="165" totalsRowDxfId="8"/>
    <tableColumn id="8" xr3:uid="{00000000-0010-0000-0000-000008000000}" name="Jul" totalsRowFunction="sum" dataDxfId="164" totalsRowDxfId="7"/>
    <tableColumn id="9" xr3:uid="{00000000-0010-0000-0000-000009000000}" name="Ago" totalsRowFunction="sum" dataDxfId="163" totalsRowDxfId="6"/>
    <tableColumn id="10" xr3:uid="{00000000-0010-0000-0000-00000A000000}" name="Set" totalsRowFunction="sum" dataDxfId="162" totalsRowDxfId="5"/>
    <tableColumn id="11" xr3:uid="{00000000-0010-0000-0000-00000B000000}" name="Out" totalsRowFunction="sum" dataDxfId="161" totalsRowDxfId="4"/>
    <tableColumn id="12" xr3:uid="{00000000-0010-0000-0000-00000C000000}" name="Nov" totalsRowFunction="sum" dataDxfId="160" totalsRowDxfId="3"/>
    <tableColumn id="13" xr3:uid="{00000000-0010-0000-0000-00000D000000}" name="Dez" totalsRowFunction="sum" dataDxfId="159" totalsRowDxfId="2"/>
    <tableColumn id="16" xr3:uid="{00000000-0010-0000-0000-000010000000}" name="Total" totalsRowFunction="sum" dataDxfId="158" totalsRowDxfId="1" dataCellStyle="Normal">
      <calculatedColumnFormula>SUM(tblGanhos[[#This Row],[Jan]:[Dez]])</calculatedColumnFormula>
    </tableColumn>
    <tableColumn id="17" xr3:uid="{00000000-0010-0000-0000-000011000000}" name="Trends" dataDxfId="157" totalsRowDxfId="0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56">
  <tableColumns count="15">
    <tableColumn id="1" xr3:uid="{00000000-0010-0000-0100-000001000000}" name="Categoria" totalsRowLabel="Total"/>
    <tableColumn id="2" xr3:uid="{00000000-0010-0000-0100-000002000000}" name="Jan" totalsRowFunction="sum" dataDxfId="155" totalsRowDxfId="154">
      <calculatedColumnFormula>Jan!J2</calculatedColumnFormula>
    </tableColumn>
    <tableColumn id="3" xr3:uid="{00000000-0010-0000-0100-000003000000}" name="Fev" totalsRowFunction="sum" dataDxfId="153" totalsRowDxfId="152">
      <calculatedColumnFormula>Fev!J2</calculatedColumnFormula>
    </tableColumn>
    <tableColumn id="4" xr3:uid="{00000000-0010-0000-0100-000004000000}" name="Mar" totalsRowFunction="sum" dataDxfId="151" totalsRowDxfId="150">
      <calculatedColumnFormula>Mar!J2</calculatedColumnFormula>
    </tableColumn>
    <tableColumn id="5" xr3:uid="{00000000-0010-0000-0100-000005000000}" name="Abr" totalsRowFunction="sum" dataDxfId="149" totalsRowDxfId="148">
      <calculatedColumnFormula>Abr!J2</calculatedColumnFormula>
    </tableColumn>
    <tableColumn id="6" xr3:uid="{00000000-0010-0000-0100-000006000000}" name="Mai" totalsRowFunction="sum" dataDxfId="147" totalsRowDxfId="146">
      <calculatedColumnFormula>Mai!J2</calculatedColumnFormula>
    </tableColumn>
    <tableColumn id="7" xr3:uid="{00000000-0010-0000-0100-000007000000}" name="Jun" totalsRowFunction="sum" dataDxfId="145" totalsRowDxfId="144">
      <calculatedColumnFormula>Jun!J2</calculatedColumnFormula>
    </tableColumn>
    <tableColumn id="8" xr3:uid="{00000000-0010-0000-0100-000008000000}" name="Jul" totalsRowFunction="sum" dataDxfId="143" totalsRowDxfId="142">
      <calculatedColumnFormula>Jul!J2</calculatedColumnFormula>
    </tableColumn>
    <tableColumn id="9" xr3:uid="{00000000-0010-0000-0100-000009000000}" name="Ago" totalsRowFunction="sum" dataDxfId="141" totalsRowDxfId="140">
      <calculatedColumnFormula>Ago!J2</calculatedColumnFormula>
    </tableColumn>
    <tableColumn id="10" xr3:uid="{00000000-0010-0000-0100-00000A000000}" name="Set" totalsRowFunction="sum" dataDxfId="139" totalsRowDxfId="138">
      <calculatedColumnFormula>Set!J2</calculatedColumnFormula>
    </tableColumn>
    <tableColumn id="11" xr3:uid="{00000000-0010-0000-0100-00000B000000}" name="Out" totalsRowFunction="sum" dataDxfId="137" totalsRowDxfId="136">
      <calculatedColumnFormula>Out!J2</calculatedColumnFormula>
    </tableColumn>
    <tableColumn id="12" xr3:uid="{00000000-0010-0000-0100-00000C000000}" name="Nov" totalsRowFunction="sum" dataDxfId="135" totalsRowDxfId="134">
      <calculatedColumnFormula>Nov!J2</calculatedColumnFormula>
    </tableColumn>
    <tableColumn id="13" xr3:uid="{00000000-0010-0000-0100-00000D000000}" name="Dez" totalsRowFunction="sum" dataDxfId="133" totalsRowDxfId="132">
      <calculatedColumnFormula>Dez!J2</calculatedColumnFormula>
    </tableColumn>
    <tableColumn id="16" xr3:uid="{00000000-0010-0000-0100-000010000000}" name="Total" totalsRowFunction="sum" dataDxfId="131" totalsRowDxfId="130" dataCellStyle="Normal">
      <calculatedColumnFormula>SUM(tblDespesas[[#This Row],[Jan]:[Dez]])</calculatedColumnFormula>
    </tableColumn>
    <tableColumn id="17" xr3:uid="{00000000-0010-0000-0100-000011000000}" name="Trends" dataDxfId="129" totalsRowDxfId="128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27">
  <tableColumns count="13">
    <tableColumn id="1" xr3:uid="{00000000-0010-0000-0200-000001000000}" name="Column1"/>
    <tableColumn id="2" xr3:uid="{00000000-0010-0000-0200-000002000000}" name="Column2" headerRowDxfId="126">
      <calculatedColumnFormula>C22</calculatedColumnFormula>
    </tableColumn>
    <tableColumn id="3" xr3:uid="{00000000-0010-0000-0200-000003000000}" name="Column3" headerRowDxfId="125">
      <calculatedColumnFormula>C23+D22</calculatedColumnFormula>
    </tableColumn>
    <tableColumn id="4" xr3:uid="{00000000-0010-0000-0200-000004000000}" name="Column4" headerRowDxfId="124">
      <calculatedColumnFormula>D23+E22</calculatedColumnFormula>
    </tableColumn>
    <tableColumn id="5" xr3:uid="{00000000-0010-0000-0200-000005000000}" name="Column5" headerRowDxfId="123">
      <calculatedColumnFormula>E23+F22</calculatedColumnFormula>
    </tableColumn>
    <tableColumn id="6" xr3:uid="{00000000-0010-0000-0200-000006000000}" name="Column6" headerRowDxfId="122">
      <calculatedColumnFormula>F23+G22</calculatedColumnFormula>
    </tableColumn>
    <tableColumn id="7" xr3:uid="{00000000-0010-0000-0200-000007000000}" name="Column7" headerRowDxfId="121">
      <calculatedColumnFormula>G23+H22</calculatedColumnFormula>
    </tableColumn>
    <tableColumn id="8" xr3:uid="{00000000-0010-0000-0200-000008000000}" name="Column8" headerRowDxfId="120">
      <calculatedColumnFormula>H23+I22</calculatedColumnFormula>
    </tableColumn>
    <tableColumn id="9" xr3:uid="{00000000-0010-0000-0200-000009000000}" name="Column9" headerRowDxfId="119">
      <calculatedColumnFormula>I23+J22</calculatedColumnFormula>
    </tableColumn>
    <tableColumn id="10" xr3:uid="{00000000-0010-0000-0200-00000A000000}" name="Column10" headerRowDxfId="118">
      <calculatedColumnFormula>J23+K22</calculatedColumnFormula>
    </tableColumn>
    <tableColumn id="11" xr3:uid="{00000000-0010-0000-0200-00000B000000}" name="Column11" headerRowDxfId="117">
      <calculatedColumnFormula>K23+L22</calculatedColumnFormula>
    </tableColumn>
    <tableColumn id="12" xr3:uid="{00000000-0010-0000-0200-00000C000000}" name="Column12" headerRowDxfId="116">
      <calculatedColumnFormula>L23+M22</calculatedColumnFormula>
    </tableColumn>
    <tableColumn id="13" xr3:uid="{00000000-0010-0000-0200-00000D000000}" name="Column13" headerRowDxfId="115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14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113">
      <calculatedColumnFormula>tblJaneiro[[#This Row],[Débito]]</calculatedColumnFormula>
    </tableColumn>
    <tableColumn id="3" xr3:uid="{00000000-0010-0000-0300-000003000000}" name="Data" dataDxfId="112"/>
    <tableColumn id="4" xr3:uid="{00000000-0010-0000-0300-000004000000}" name="Descrição" dataDxfId="111"/>
    <tableColumn id="5" xr3:uid="{00000000-0010-0000-0300-000005000000}" name="Débito" dataDxfId="110"/>
    <tableColumn id="6" xr3:uid="{00000000-0010-0000-0300-000006000000}" name="Crédito" dataDxfId="109"/>
    <tableColumn id="7" xr3:uid="{00000000-0010-0000-0300-000007000000}" name="Categoria #2" dataDxfId="10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107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106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105"/>
    <tableColumn id="3" xr3:uid="{00000000-0010-0000-0500-000003000000}" name="Data" dataDxfId="104"/>
    <tableColumn id="4" xr3:uid="{00000000-0010-0000-0500-000004000000}" name="Descrição" dataDxfId="103"/>
    <tableColumn id="5" xr3:uid="{00000000-0010-0000-0500-000005000000}" name="Débito" dataDxfId="102"/>
    <tableColumn id="6" xr3:uid="{00000000-0010-0000-0500-000006000000}" name="Crédito" dataDxfId="101"/>
    <tableColumn id="7" xr3:uid="{00000000-0010-0000-0500-000007000000}" name="Categoria #2" dataDxfId="10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99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98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97"/>
    <tableColumn id="3" xr3:uid="{00000000-0010-0000-0700-000003000000}" name="Data" dataDxfId="96"/>
    <tableColumn id="4" xr3:uid="{00000000-0010-0000-0700-000004000000}" name="Descrição" dataDxfId="95"/>
    <tableColumn id="5" xr3:uid="{00000000-0010-0000-0700-000005000000}" name="Débito" dataDxfId="94"/>
    <tableColumn id="6" xr3:uid="{00000000-0010-0000-0700-000006000000}" name="Crédito" dataDxfId="93"/>
    <tableColumn id="7" xr3:uid="{00000000-0010-0000-0700-000007000000}" name="Categoria #2" dataDxfId="9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91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90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89"/>
    <tableColumn id="3" xr3:uid="{00000000-0010-0000-0900-000003000000}" name="Data" dataDxfId="88"/>
    <tableColumn id="4" xr3:uid="{00000000-0010-0000-0900-000004000000}" name="Descrição" dataDxfId="87"/>
    <tableColumn id="5" xr3:uid="{00000000-0010-0000-0900-000005000000}" name="Débito" dataDxfId="86"/>
    <tableColumn id="6" xr3:uid="{00000000-0010-0000-0900-000006000000}" name="Crédito" dataDxfId="85"/>
    <tableColumn id="7" xr3:uid="{00000000-0010-0000-0900-000007000000}" name="Categoria #2" dataDxfId="84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83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82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81"/>
    <tableColumn id="3" xr3:uid="{00000000-0010-0000-0B00-000003000000}" name="Data" dataDxfId="80"/>
    <tableColumn id="4" xr3:uid="{00000000-0010-0000-0B00-000004000000}" name="Descrição" dataDxfId="79"/>
    <tableColumn id="5" xr3:uid="{00000000-0010-0000-0B00-000005000000}" name="Débito" dataDxfId="78"/>
    <tableColumn id="6" xr3:uid="{00000000-0010-0000-0B00-000006000000}" name="Crédito" dataDxfId="77"/>
    <tableColumn id="7" xr3:uid="{00000000-0010-0000-0B00-000007000000}" name="Categoria #2" dataDxfId="76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75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74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73"/>
    <tableColumn id="3" xr3:uid="{00000000-0010-0000-0D00-000003000000}" name="Data" dataDxfId="72"/>
    <tableColumn id="4" xr3:uid="{00000000-0010-0000-0D00-000004000000}" name="Descrição" dataDxfId="71"/>
    <tableColumn id="5" xr3:uid="{00000000-0010-0000-0D00-000005000000}" name="Débito" dataDxfId="70"/>
    <tableColumn id="6" xr3:uid="{00000000-0010-0000-0D00-000006000000}" name="Crédito" dataDxfId="69"/>
    <tableColumn id="7" xr3:uid="{00000000-0010-0000-0D00-000007000000}" name="Categoria #2" dataDxfId="68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67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66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65"/>
    <tableColumn id="3" xr3:uid="{00000000-0010-0000-0F00-000003000000}" name="Data" dataDxfId="64"/>
    <tableColumn id="4" xr3:uid="{00000000-0010-0000-0F00-000004000000}" name="Descrição" dataDxfId="63"/>
    <tableColumn id="5" xr3:uid="{00000000-0010-0000-0F00-000005000000}" name="Débito" dataDxfId="62"/>
    <tableColumn id="6" xr3:uid="{00000000-0010-0000-0F00-000006000000}" name="Crédito" dataDxfId="61"/>
    <tableColumn id="7" xr3:uid="{00000000-0010-0000-0F00-000007000000}" name="Categoria #2" dataDxfId="60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59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58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57"/>
    <tableColumn id="3" xr3:uid="{00000000-0010-0000-1100-000003000000}" name="Data" dataDxfId="56"/>
    <tableColumn id="4" xr3:uid="{00000000-0010-0000-1100-000004000000}" name="Descrição" dataDxfId="55"/>
    <tableColumn id="5" xr3:uid="{00000000-0010-0000-1100-000005000000}" name="Débito" dataDxfId="54"/>
    <tableColumn id="6" xr3:uid="{00000000-0010-0000-1100-000006000000}" name="Crédito" dataDxfId="53"/>
    <tableColumn id="7" xr3:uid="{00000000-0010-0000-1100-000007000000}" name="Categoria #2" dataDxfId="5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51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50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49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48"/>
    <tableColumn id="3" xr3:uid="{00000000-0010-0000-1300-000003000000}" name="Data" dataDxfId="47"/>
    <tableColumn id="4" xr3:uid="{00000000-0010-0000-1300-000004000000}" name="Descrição" dataDxfId="46"/>
    <tableColumn id="5" xr3:uid="{00000000-0010-0000-1300-000005000000}" name="Débito" dataDxfId="45"/>
    <tableColumn id="6" xr3:uid="{00000000-0010-0000-1300-000006000000}" name="Crédito" dataDxfId="44"/>
    <tableColumn id="7" xr3:uid="{00000000-0010-0000-1300-000007000000}" name="Categoria #2" dataDxfId="43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42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41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40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39"/>
    <tableColumn id="3" xr3:uid="{00000000-0010-0000-1500-000003000000}" name="Data" dataDxfId="38"/>
    <tableColumn id="4" xr3:uid="{00000000-0010-0000-1500-000004000000}" name="Descrição" dataDxfId="37"/>
    <tableColumn id="5" xr3:uid="{00000000-0010-0000-1500-000005000000}" name="Débito" dataDxfId="36"/>
    <tableColumn id="6" xr3:uid="{00000000-0010-0000-1500-000006000000}" name="Crédito" dataDxfId="35"/>
    <tableColumn id="7" xr3:uid="{00000000-0010-0000-1500-000007000000}" name="Categoria #2" dataDxfId="34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33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32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31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30"/>
    <tableColumn id="3" xr3:uid="{00000000-0010-0000-1700-000003000000}" name="Data" dataDxfId="29"/>
    <tableColumn id="4" xr3:uid="{00000000-0010-0000-1700-000004000000}" name="Descrição" dataDxfId="28"/>
    <tableColumn id="5" xr3:uid="{00000000-0010-0000-1700-000005000000}" name="Débito" dataDxfId="27"/>
    <tableColumn id="6" xr3:uid="{00000000-0010-0000-1700-000006000000}" name="Crédito" dataDxfId="26"/>
    <tableColumn id="7" xr3:uid="{00000000-0010-0000-1700-000007000000}" name="Categoria #2" dataDxfId="25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24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23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22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21"/>
    <tableColumn id="3" xr3:uid="{00000000-0010-0000-1900-000003000000}" name="Data" dataDxfId="20"/>
    <tableColumn id="4" xr3:uid="{00000000-0010-0000-1900-000004000000}" name="Descrição" dataDxfId="19"/>
    <tableColumn id="5" xr3:uid="{00000000-0010-0000-1900-000005000000}" name="Débito" dataDxfId="18"/>
    <tableColumn id="6" xr3:uid="{00000000-0010-0000-1900-000006000000}" name="Crédito" dataDxfId="17"/>
    <tableColumn id="7" xr3:uid="{00000000-0010-0000-1900-000007000000}" name="Categoria #2" dataDxfId="16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5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14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K12" sqref="K12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19.649999999999999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19.649999999999999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9.1000000000000014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9.1000000000000014</v>
      </c>
      <c r="P8" s="4"/>
    </row>
    <row r="9" spans="2:16" x14ac:dyDescent="0.25">
      <c r="B9" t="s">
        <v>48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49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140.94999999999999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140.94999999999999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119.08000000000001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119.08000000000001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12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12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10.44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10.44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17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17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0.47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0.47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328.69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328.69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1382.05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1382.05</v>
      </c>
      <c r="L23" s="1">
        <f t="shared" si="0"/>
        <v>1382.05</v>
      </c>
      <c r="M23" s="1">
        <f t="shared" si="0"/>
        <v>1382.05</v>
      </c>
      <c r="N23" s="1">
        <f t="shared" si="0"/>
        <v>1382.05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1480.69</v>
      </c>
      <c r="L26" s="3">
        <v>0</v>
      </c>
      <c r="M26" s="3">
        <v>0</v>
      </c>
      <c r="N26" s="3">
        <v>0</v>
      </c>
      <c r="O26" s="3">
        <f>SUM(tblGanhos[[#This Row],[Jan]:[Dez]])</f>
        <v>1480.69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230.05</v>
      </c>
      <c r="L27" s="3">
        <v>0</v>
      </c>
      <c r="M27" s="3">
        <v>0</v>
      </c>
      <c r="N27" s="3">
        <v>0</v>
      </c>
      <c r="O27" s="3">
        <f>SUM(tblGanhos[[#This Row],[Jan]:[Dez]])</f>
        <v>230.05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1710.74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1710.74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N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B32" sqref="B3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 t="s">
        <v>47</v>
      </c>
      <c r="E2" s="5"/>
      <c r="F2" s="5"/>
      <c r="G2" s="5"/>
      <c r="I2" t="s">
        <v>45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19.649999999999999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44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43</v>
      </c>
      <c r="J6" s="5">
        <f>SUMIF(tbl_setembro[Categoria],Tabela3131517192123824[[#This Row],[Categoria]],tbl_setembro[Valor])</f>
        <v>0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9.1000000000000014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48</v>
      </c>
      <c r="J8" s="5">
        <f>SUMIF(tbl_setembro[Categoria],Tabela3131517192123824[[#This Row],[Categoria]],tbl_setembro[Valor])</f>
        <v>0</v>
      </c>
    </row>
    <row r="9" spans="1:10" x14ac:dyDescent="0.25">
      <c r="A9" t="s">
        <v>28</v>
      </c>
      <c r="B9" s="5">
        <v>1.3</v>
      </c>
      <c r="C9" s="7">
        <v>44823</v>
      </c>
      <c r="D9" s="5" t="s">
        <v>47</v>
      </c>
      <c r="E9" s="5"/>
      <c r="F9" s="5"/>
      <c r="G9" s="5"/>
      <c r="I9" t="s">
        <v>49</v>
      </c>
      <c r="J9" s="5">
        <f>SUMIF(tbl_setembro[Categoria],Tabela3131517192123824[[#This Row],[Categoria]],tbl_setembro[Valor])</f>
        <v>0</v>
      </c>
    </row>
    <row r="10" spans="1:10" x14ac:dyDescent="0.25">
      <c r="A10" t="s">
        <v>28</v>
      </c>
      <c r="B10" s="5">
        <v>1</v>
      </c>
      <c r="C10" s="7">
        <v>44823</v>
      </c>
      <c r="D10" s="5" t="s">
        <v>47</v>
      </c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140.94999999999999</v>
      </c>
    </row>
    <row r="11" spans="1:10" x14ac:dyDescent="0.25">
      <c r="A11" t="s">
        <v>32</v>
      </c>
      <c r="B11" s="5">
        <v>5.38</v>
      </c>
      <c r="C11" s="7">
        <v>44823</v>
      </c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119.08000000000001</v>
      </c>
    </row>
    <row r="12" spans="1:10" x14ac:dyDescent="0.25">
      <c r="A12" t="s">
        <v>41</v>
      </c>
      <c r="B12" s="5">
        <v>0.08</v>
      </c>
      <c r="C12" s="7">
        <v>44824</v>
      </c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12</v>
      </c>
    </row>
    <row r="13" spans="1:10" x14ac:dyDescent="0.25">
      <c r="A13" t="s">
        <v>28</v>
      </c>
      <c r="B13" s="5">
        <v>1.3</v>
      </c>
      <c r="C13" s="7">
        <v>44824</v>
      </c>
      <c r="D13" s="5" t="s">
        <v>47</v>
      </c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A14" t="s">
        <v>28</v>
      </c>
      <c r="B14" s="5">
        <v>0.9</v>
      </c>
      <c r="C14" s="7">
        <v>44824</v>
      </c>
      <c r="D14" s="5" t="s">
        <v>47</v>
      </c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A15" t="s">
        <v>32</v>
      </c>
      <c r="B15" s="5">
        <v>6.53</v>
      </c>
      <c r="C15" s="7">
        <v>44824</v>
      </c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10.44</v>
      </c>
    </row>
    <row r="16" spans="1:10" x14ac:dyDescent="0.25">
      <c r="A16" t="s">
        <v>19</v>
      </c>
      <c r="B16" s="5">
        <v>10</v>
      </c>
      <c r="C16" s="7">
        <v>44825</v>
      </c>
      <c r="D16" s="5" t="s">
        <v>50</v>
      </c>
      <c r="E16" s="5"/>
      <c r="F16" s="5"/>
      <c r="G16" s="5"/>
      <c r="I16" t="s">
        <v>40</v>
      </c>
      <c r="J16" s="5">
        <f>SUMIF(tbl_setembro[Categoria],Tabela3131517192123824[[#This Row],[Categoria]],tbl_setembro[Valor])</f>
        <v>17</v>
      </c>
    </row>
    <row r="17" spans="1:10" x14ac:dyDescent="0.25">
      <c r="A17" t="s">
        <v>28</v>
      </c>
      <c r="B17" s="5">
        <v>0.9</v>
      </c>
      <c r="C17" s="7">
        <v>44825</v>
      </c>
      <c r="D17" s="5" t="s">
        <v>47</v>
      </c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0.47</v>
      </c>
    </row>
    <row r="18" spans="1:10" x14ac:dyDescent="0.25">
      <c r="A18" t="s">
        <v>28</v>
      </c>
      <c r="B18" s="5">
        <v>0.9</v>
      </c>
      <c r="C18" s="7">
        <v>44825</v>
      </c>
      <c r="D18" s="5" t="s">
        <v>47</v>
      </c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1:10" x14ac:dyDescent="0.25">
      <c r="A19" t="s">
        <v>28</v>
      </c>
      <c r="B19" s="5">
        <v>0.9</v>
      </c>
      <c r="C19" s="7">
        <v>44826</v>
      </c>
      <c r="D19" s="5" t="s">
        <v>47</v>
      </c>
      <c r="E19" s="5"/>
      <c r="F19" s="5"/>
      <c r="G19" s="5"/>
      <c r="I19" t="s">
        <v>18</v>
      </c>
      <c r="J19" s="12">
        <f>SUBTOTAL(109,Tabela3131517192123824[Total])</f>
        <v>328.69</v>
      </c>
    </row>
    <row r="20" spans="1:10" x14ac:dyDescent="0.25">
      <c r="A20" t="s">
        <v>32</v>
      </c>
      <c r="B20" s="5">
        <v>10.73</v>
      </c>
      <c r="C20" s="7">
        <v>44826</v>
      </c>
      <c r="D20" s="5"/>
      <c r="E20" s="5"/>
      <c r="F20" s="5"/>
      <c r="G20" s="5"/>
    </row>
    <row r="21" spans="1:10" x14ac:dyDescent="0.25">
      <c r="A21" t="s">
        <v>32</v>
      </c>
      <c r="B21" s="5">
        <v>3.58</v>
      </c>
      <c r="C21" s="7">
        <v>44826</v>
      </c>
      <c r="D21" s="5"/>
      <c r="E21" s="5"/>
      <c r="F21" s="5"/>
      <c r="G21" s="5"/>
    </row>
    <row r="22" spans="1:10" x14ac:dyDescent="0.25">
      <c r="A22" t="s">
        <v>19</v>
      </c>
      <c r="B22" s="5">
        <v>10.95</v>
      </c>
      <c r="C22" s="7">
        <v>44829</v>
      </c>
      <c r="D22" s="5" t="s">
        <v>51</v>
      </c>
      <c r="E22" s="5"/>
      <c r="F22" s="5"/>
      <c r="G22" s="5"/>
    </row>
    <row r="23" spans="1:10" x14ac:dyDescent="0.25">
      <c r="A23" t="s">
        <v>31</v>
      </c>
      <c r="B23" s="5">
        <v>12</v>
      </c>
      <c r="C23" s="7">
        <v>44829</v>
      </c>
      <c r="D23" s="5"/>
      <c r="E23" s="5"/>
      <c r="F23" s="5"/>
      <c r="G23" s="5"/>
    </row>
    <row r="24" spans="1:10" x14ac:dyDescent="0.25">
      <c r="A24" t="s">
        <v>40</v>
      </c>
      <c r="B24" s="5">
        <v>8</v>
      </c>
      <c r="C24" s="7">
        <v>44829</v>
      </c>
      <c r="D24" s="5"/>
      <c r="E24" s="5"/>
      <c r="F24" s="5"/>
      <c r="G24" s="5"/>
    </row>
    <row r="25" spans="1:10" x14ac:dyDescent="0.25">
      <c r="A25" t="s">
        <v>32</v>
      </c>
      <c r="B25" s="5">
        <v>2.63</v>
      </c>
      <c r="C25" s="7">
        <v>44829</v>
      </c>
      <c r="D25" s="5"/>
      <c r="E25" s="5"/>
      <c r="F25" s="5"/>
      <c r="G25" s="5"/>
    </row>
    <row r="26" spans="1:10" x14ac:dyDescent="0.25">
      <c r="A26" t="s">
        <v>39</v>
      </c>
      <c r="B26" s="5">
        <v>10.44</v>
      </c>
      <c r="C26" s="7">
        <v>44830</v>
      </c>
      <c r="D26" s="5"/>
      <c r="E26" s="5"/>
      <c r="F26" s="5"/>
      <c r="G26" s="5"/>
    </row>
    <row r="27" spans="1:10" x14ac:dyDescent="0.25">
      <c r="A27" t="s">
        <v>41</v>
      </c>
      <c r="B27" s="5">
        <v>0.01</v>
      </c>
      <c r="C27" s="7">
        <v>44830</v>
      </c>
      <c r="D27" s="5"/>
      <c r="E27" s="5"/>
      <c r="F27" s="5"/>
      <c r="G27" s="5"/>
    </row>
    <row r="28" spans="1:10" x14ac:dyDescent="0.25">
      <c r="A28" t="s">
        <v>41</v>
      </c>
      <c r="B28" s="5">
        <v>0.21</v>
      </c>
      <c r="C28" s="7">
        <v>44830</v>
      </c>
      <c r="D28" s="5"/>
      <c r="E28" s="5"/>
      <c r="F28" s="5"/>
      <c r="G28" s="5"/>
    </row>
    <row r="29" spans="1:10" x14ac:dyDescent="0.25">
      <c r="A29" t="s">
        <v>28</v>
      </c>
      <c r="B29" s="5">
        <v>1</v>
      </c>
      <c r="C29" s="7">
        <v>44830</v>
      </c>
      <c r="D29" s="5"/>
      <c r="E29" s="5"/>
      <c r="F29" s="5"/>
      <c r="G29" s="5"/>
    </row>
    <row r="30" spans="1:10" x14ac:dyDescent="0.25">
      <c r="A30" t="s">
        <v>32</v>
      </c>
      <c r="B30" s="5">
        <v>63.22</v>
      </c>
      <c r="C30" s="7">
        <v>44830</v>
      </c>
      <c r="D30" s="5"/>
      <c r="E30" s="5"/>
      <c r="F30" s="5"/>
      <c r="G30" s="5"/>
    </row>
    <row r="31" spans="1:10" x14ac:dyDescent="0.25">
      <c r="A31" t="s">
        <v>2</v>
      </c>
      <c r="B31" s="5">
        <v>19.649999999999999</v>
      </c>
      <c r="C31" s="7">
        <v>44832</v>
      </c>
      <c r="D31" s="5" t="s">
        <v>52</v>
      </c>
      <c r="E31" s="5"/>
      <c r="F31" s="5"/>
      <c r="G31" s="5"/>
    </row>
    <row r="32" spans="1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2022-09-29T16:41:02Z</dcterms:modified>
</cp:coreProperties>
</file>