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92E8552F-20B2-41A0-BB6F-9CA582C984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<sst xmlns="http://schemas.openxmlformats.org/spreadsheetml/2006/main" count="435" uniqueCount="56">
  <si>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</si>
  <si>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</si>
  <si>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</si>
  <si>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</si>
  <si>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</si>
  <si>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</si>
  <si>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</si>
  <si>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</si>
  <si>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</si>
  <si>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</si>
  <si>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</si>
  <si>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</si>
  <si>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</si>
  <si>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</si>
  <si>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</si>
  <si>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</si>
  <si>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</si>
  <si>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</si>
  <si>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</si>
  <si>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</si>
  <si>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</si>
  <si>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</si>
  <si>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</si>
  <si>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</si>
  <si>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</si>
  <si>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</si>
  <si>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</si>
  <si>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</si>
  <si>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</si>
  <si>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</si>
  <si>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</si>
  <si>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</si>
  <si>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</si>
  <si>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</si>
  <si>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</si>
  <si>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</si>
  <si>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</si>
  <si>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</si>
  <si>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</si>
  <si>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</si>
  <si>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</si>
  <si>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</si>
  <si>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</si>
  <si>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</si>
  <si>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</si>
  <si>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</si>
  <si>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</si>
  <si>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</si>
  <si>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</si>
  <si>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</si>
  <si>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</si>
  <si>
    <t>wells - liquido para as lentes</t>
  </si>
  <si>
    <t>mafra</t>
  </si>
  <si>
    <t>opel</t>
  </si>
  <si>
    <t>citroen</t>
  </si>
  <si>
    <t>pizzaria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</si>
</sst>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19.649999999999999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226.66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103.22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33.6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140.94999999999999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62.580000000000005</c:v>
                </c:pt>
                <c:pt idx="9">
                  <c:v>43.04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13.56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10.44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</c:v>
                </c:pt>
                <c:pt idx="9">
                  <c:v>0.7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1310.83</c:v>
                </c:pt>
                <c:pt idx="9">
                  <c:v>1008.8699999999999</c:v>
                </c:pt>
                <c:pt idx="10">
                  <c:v>1008.8699999999999</c:v>
                </c:pt>
                <c:pt idx="11">
                  <c:v>1008.8699999999999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0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8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7"/>
    <tableColumn id="3" xr3:uid="{00000000-0010-0000-1700-000003000000}" name="Data" dataDxfId="16"/>
    <tableColumn id="4" xr3:uid="{00000000-0010-0000-1700-000004000000}" name="Descrição" dataDxfId="15"/>
    <tableColumn id="5" xr3:uid="{00000000-0010-0000-1700-000005000000}" name="Débito" dataDxfId="14"/>
    <tableColumn id="6" xr3:uid="{00000000-0010-0000-1700-000006000000}" name="Crédito" dataDxfId="13"/>
    <tableColumn id="7" xr3:uid="{00000000-0010-0000-1700-000007000000}" name="Categoria #2" dataDxfId="1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1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10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9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8"/>
    <tableColumn id="3" xr3:uid="{00000000-0010-0000-1900-000003000000}" name="Data" dataDxfId="7"/>
    <tableColumn id="4" xr3:uid="{00000000-0010-0000-1900-000004000000}" name="Descrição" dataDxfId="6"/>
    <tableColumn id="5" xr3:uid="{00000000-0010-0000-1900-000005000000}" name="Débito" dataDxfId="5"/>
    <tableColumn id="6" xr3:uid="{00000000-0010-0000-1900-000006000000}" name="Crédito" dataDxfId="4"/>
    <tableColumn id="7" xr3:uid="{00000000-0010-0000-1900-000007000000}" name="Categoria #2" dataDxfId="3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2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1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R48" sqref="R48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19.649999999999999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19.649999999999999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226.66</v>
      </c>
      <c r="M6" s="3">
        <f>Nov!J5</f>
        <v>0</v>
      </c>
      <c r="N6" s="3">
        <f>Dez!J5</f>
        <v>0</v>
      </c>
      <c r="O6" s="3">
        <f>SUM(tblDespesas[[#This Row],[Jan]:[Dez]])</f>
        <v>226.66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103.22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103.22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33.6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33.6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140.94999999999999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140.94999999999999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62.580000000000005</v>
      </c>
      <c r="L12" s="3">
        <f>Out!J11</f>
        <v>43.04</v>
      </c>
      <c r="M12" s="3">
        <f>Nov!J11</f>
        <v>0</v>
      </c>
      <c r="N12" s="3">
        <f>Dez!J11</f>
        <v>0</v>
      </c>
      <c r="O12" s="3">
        <f>SUM(tblDespesas[[#This Row],[Jan]:[Dez]])</f>
        <v>105.62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12</v>
      </c>
      <c r="L13" s="3">
        <f>Out!J12</f>
        <v>13.56</v>
      </c>
      <c r="M13" s="3">
        <f>Nov!J12</f>
        <v>0</v>
      </c>
      <c r="N13" s="3">
        <f>Dez!J12</f>
        <v>0</v>
      </c>
      <c r="O13" s="3">
        <f>SUM(tblDespesas[[#This Row],[Jan]:[Dez]])</f>
        <v>25.560000000000002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10.44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10.44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17</v>
      </c>
      <c r="L17" s="3">
        <f>Out!J16</f>
        <v>18</v>
      </c>
      <c r="M17" s="3">
        <f>Nov!J16</f>
        <v>0</v>
      </c>
      <c r="N17" s="3">
        <f>Dez!J16</f>
        <v>0</v>
      </c>
      <c r="O17" s="3">
        <f>SUM(tblDespesas[[#This Row],[Jan]:[Dez]])</f>
        <v>35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0.47</v>
      </c>
      <c r="L18" s="3">
        <f>Out!J17</f>
        <v>0.7</v>
      </c>
      <c r="M18" s="3">
        <f>Nov!J17</f>
        <v>0</v>
      </c>
      <c r="N18" s="3">
        <f>Dez!J17</f>
        <v>0</v>
      </c>
      <c r="O18" s="3">
        <f>SUM(tblDespesas[[#This Row],[Jan]:[Dez]])</f>
        <v>1.17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399.90999999999997</v>
      </c>
      <c r="L20" s="3">
        <f>SUBTOTAL(109,tblDespesas[Out])</f>
        <v>301.95999999999998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701.87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1310.83</v>
      </c>
      <c r="L22" s="3">
        <f>tblGanhos[[#Totals],[Out]]-tblDespesas[[#Totals],[Out]]</f>
        <v>-301.95999999999998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1310.83</v>
      </c>
      <c r="L23" s="1">
        <f t="shared" si="0"/>
        <v>1008.8699999999999</v>
      </c>
      <c r="M23" s="1">
        <f t="shared" si="0"/>
        <v>1008.8699999999999</v>
      </c>
      <c r="N23" s="1">
        <f t="shared" si="0"/>
        <v>1008.8699999999999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1480.69</v>
      </c>
      <c r="L26" s="3">
        <v>0</v>
      </c>
      <c r="M26" s="3">
        <v>0</v>
      </c>
      <c r="N26" s="3">
        <v>0</v>
      </c>
      <c r="O26" s="3">
        <f>SUM(tblGanhos[[#This Row],[Jan]:[Dez]])</f>
        <v>1480.69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230.05</v>
      </c>
      <c r="L27" s="3">
        <v>0</v>
      </c>
      <c r="M27" s="3">
        <v>0</v>
      </c>
      <c r="N27" s="3">
        <v>0</v>
      </c>
      <c r="O27" s="3">
        <f>SUM(tblGanhos[[#This Row],[Jan]:[Dez]])</f>
        <v>230.05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1710.74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1710.74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C35" sqref="C3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19.649999999999999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103.22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33.6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140.94999999999999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62.580000000000005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12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10.44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17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0.47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A19" t="s">
        <v>28</v>
      </c>
      <c r="B19" s="5">
        <v>0.9</v>
      </c>
      <c r="C19" s="7">
        <v>44826</v>
      </c>
      <c r="D19" s="5" t="s">
        <v>47</v>
      </c>
      <c r="E19" s="5"/>
      <c r="F19" s="5"/>
      <c r="G19" s="5"/>
      <c r="I19" t="s">
        <v>18</v>
      </c>
      <c r="J19" s="12">
        <f>SUBTOTAL(109,Tabela3131517192123824[Total])</f>
        <v>399.90999999999997</v>
      </c>
    </row>
    <row r="20" spans="1:10" x14ac:dyDescent="0.25">
      <c r="A20" t="s">
        <v>32</v>
      </c>
      <c r="B20" s="5">
        <v>10.73</v>
      </c>
      <c r="C20" s="7">
        <v>44826</v>
      </c>
      <c r="D20" s="5"/>
      <c r="E20" s="5"/>
      <c r="F20" s="5"/>
      <c r="G20" s="5"/>
    </row>
    <row r="21" spans="1:10" x14ac:dyDescent="0.25">
      <c r="A21" t="s">
        <v>32</v>
      </c>
      <c r="B21" s="5">
        <v>3.58</v>
      </c>
      <c r="C21" s="7">
        <v>44826</v>
      </c>
      <c r="D21" s="5"/>
      <c r="E21" s="5"/>
      <c r="F21" s="5"/>
      <c r="G21" s="5"/>
    </row>
    <row r="22" spans="1:10" x14ac:dyDescent="0.25">
      <c r="A22" t="s">
        <v>19</v>
      </c>
      <c r="B22" s="5">
        <v>10.95</v>
      </c>
      <c r="C22" s="7">
        <v>44829</v>
      </c>
      <c r="D22" s="5" t="s">
        <v>51</v>
      </c>
      <c r="E22" s="5"/>
      <c r="F22" s="5"/>
      <c r="G22" s="5"/>
    </row>
    <row r="23" spans="1:10" x14ac:dyDescent="0.25">
      <c r="A23" t="s">
        <v>31</v>
      </c>
      <c r="B23" s="5">
        <v>12</v>
      </c>
      <c r="C23" s="7">
        <v>44829</v>
      </c>
      <c r="D23" s="5"/>
      <c r="E23" s="5"/>
      <c r="F23" s="5"/>
      <c r="G23" s="5"/>
    </row>
    <row r="24" spans="1:10" x14ac:dyDescent="0.25">
      <c r="A24" t="s">
        <v>40</v>
      </c>
      <c r="B24" s="5">
        <v>8</v>
      </c>
      <c r="C24" s="7">
        <v>44829</v>
      </c>
      <c r="D24" s="5"/>
      <c r="E24" s="5"/>
      <c r="F24" s="5"/>
      <c r="G24" s="5"/>
    </row>
    <row r="25" spans="1:10" x14ac:dyDescent="0.25">
      <c r="A25" t="s">
        <v>32</v>
      </c>
      <c r="B25" s="5">
        <v>2.63</v>
      </c>
      <c r="C25" s="7">
        <v>44829</v>
      </c>
      <c r="D25" s="5"/>
      <c r="E25" s="5"/>
      <c r="F25" s="5"/>
      <c r="G25" s="5"/>
    </row>
    <row r="26" spans="1:10" x14ac:dyDescent="0.25">
      <c r="A26" t="s">
        <v>39</v>
      </c>
      <c r="B26" s="5">
        <v>10.44</v>
      </c>
      <c r="C26" s="7">
        <v>44830</v>
      </c>
      <c r="D26" s="5"/>
      <c r="E26" s="5"/>
      <c r="F26" s="5"/>
      <c r="G26" s="5"/>
    </row>
    <row r="27" spans="1:10" x14ac:dyDescent="0.25">
      <c r="A27" t="s">
        <v>41</v>
      </c>
      <c r="B27" s="5">
        <v>0.01</v>
      </c>
      <c r="C27" s="7">
        <v>44830</v>
      </c>
      <c r="D27" s="5"/>
      <c r="E27" s="5"/>
      <c r="F27" s="5"/>
      <c r="G27" s="5"/>
    </row>
    <row r="28" spans="1:10" x14ac:dyDescent="0.25">
      <c r="A28" t="s">
        <v>41</v>
      </c>
      <c r="B28" s="5">
        <v>0.21</v>
      </c>
      <c r="C28" s="7">
        <v>44830</v>
      </c>
      <c r="D28" s="5"/>
      <c r="E28" s="5"/>
      <c r="F28" s="5"/>
      <c r="G28" s="5"/>
    </row>
    <row r="29" spans="1:10" x14ac:dyDescent="0.25">
      <c r="A29" t="s">
        <v>28</v>
      </c>
      <c r="B29" s="5">
        <v>1</v>
      </c>
      <c r="C29" s="7">
        <v>44830</v>
      </c>
      <c r="D29" s="5"/>
      <c r="E29" s="5"/>
      <c r="F29" s="5"/>
      <c r="G29" s="5"/>
    </row>
    <row r="30" spans="1:10" x14ac:dyDescent="0.25">
      <c r="A30" t="s">
        <v>43</v>
      </c>
      <c r="B30" s="5">
        <v>63.22</v>
      </c>
      <c r="C30" s="7">
        <v>44830</v>
      </c>
      <c r="D30" s="5" t="s">
        <v>53</v>
      </c>
      <c r="E30" s="5"/>
      <c r="F30" s="5"/>
      <c r="G30" s="5"/>
    </row>
    <row r="31" spans="1:10" x14ac:dyDescent="0.25">
      <c r="A31" t="s">
        <v>2</v>
      </c>
      <c r="B31" s="5">
        <v>19.649999999999999</v>
      </c>
      <c r="C31" s="7">
        <v>44832</v>
      </c>
      <c r="D31" s="5" t="s">
        <v>52</v>
      </c>
      <c r="E31" s="5"/>
      <c r="F31" s="5"/>
      <c r="G31" s="5"/>
    </row>
    <row r="32" spans="1:10" x14ac:dyDescent="0.25">
      <c r="A32" t="s">
        <v>43</v>
      </c>
      <c r="B32" s="5">
        <v>40</v>
      </c>
      <c r="C32" s="7">
        <v>44833</v>
      </c>
      <c r="D32" s="5" t="s">
        <v>54</v>
      </c>
      <c r="E32" s="5"/>
      <c r="F32" s="5"/>
      <c r="G32" s="5"/>
    </row>
    <row r="33" spans="1:7" x14ac:dyDescent="0.25">
      <c r="A33" t="s">
        <v>28</v>
      </c>
      <c r="B33" s="5">
        <v>24.5</v>
      </c>
      <c r="C33" s="7">
        <v>44833</v>
      </c>
      <c r="D33" s="5" t="s">
        <v>55</v>
      </c>
      <c r="E33" s="5"/>
      <c r="F33" s="5"/>
      <c r="G33" s="5"/>
    </row>
    <row r="34" spans="1:7" x14ac:dyDescent="0.25">
      <c r="A34" t="s">
        <v>32</v>
      </c>
      <c r="B34" s="11">
        <v>6.72</v>
      </c>
      <c r="C34" s="7">
        <v>44834</v>
      </c>
      <c r="D34" s="7"/>
      <c r="E34" s="5"/>
      <c r="F34" s="5"/>
      <c r="G34" s="5"/>
    </row>
    <row r="35" spans="1:7" x14ac:dyDescent="0.25">
      <c r="B35" s="5"/>
      <c r="C35" s="7"/>
      <c r="D35" s="7"/>
      <c r="E35" s="5"/>
      <c r="F35" s="5"/>
      <c r="G35" s="5"/>
    </row>
    <row r="36" spans="1:7" x14ac:dyDescent="0.25">
      <c r="B36" s="5"/>
      <c r="C36" s="7"/>
      <c r="D36" s="5"/>
      <c r="E36" s="5"/>
      <c r="F36" s="5"/>
      <c r="G36" s="5"/>
    </row>
    <row r="37" spans="1:7" x14ac:dyDescent="0.25">
      <c r="B37" s="5"/>
      <c r="C37" s="7"/>
      <c r="D37" s="5"/>
      <c r="E37" s="5"/>
      <c r="F37" s="5"/>
      <c r="G37" s="5"/>
    </row>
    <row r="38" spans="1:7" x14ac:dyDescent="0.25">
      <c r="B38" s="5"/>
      <c r="C38" s="7"/>
      <c r="D38" s="5"/>
      <c r="E38" s="5"/>
      <c r="F38" s="5"/>
      <c r="G38" s="5"/>
    </row>
    <row r="39" spans="1:7" x14ac:dyDescent="0.25">
      <c r="B39" s="5"/>
      <c r="C39" s="7"/>
      <c r="D39" s="5"/>
      <c r="E39" s="5"/>
      <c r="F39" s="5"/>
      <c r="G39" s="5"/>
    </row>
    <row r="40" spans="1:7" x14ac:dyDescent="0.25">
      <c r="B40" s="5"/>
      <c r="C40" s="7"/>
      <c r="D40" s="5"/>
      <c r="E40" s="5"/>
      <c r="F40" s="5"/>
      <c r="G40" s="5"/>
    </row>
    <row r="41" spans="1:7" x14ac:dyDescent="0.25">
      <c r="B41" s="5"/>
      <c r="C41" s="7"/>
      <c r="D41" s="5"/>
      <c r="E41" s="5"/>
      <c r="F41" s="5"/>
      <c r="G41" s="5"/>
    </row>
    <row r="42" spans="1:7" x14ac:dyDescent="0.25">
      <c r="B42" s="5"/>
      <c r="C42" s="7"/>
      <c r="D42" s="5"/>
      <c r="E42" s="5"/>
      <c r="F42" s="5"/>
      <c r="G42" s="5"/>
    </row>
    <row r="43" spans="1:7" x14ac:dyDescent="0.25">
      <c r="B43" s="5"/>
      <c r="C43" s="7"/>
      <c r="D43" s="5"/>
      <c r="E43" s="5"/>
      <c r="F43" s="5"/>
      <c r="G43" s="5"/>
    </row>
    <row r="44" spans="1:7" x14ac:dyDescent="0.25">
      <c r="B44" s="5"/>
      <c r="C44" s="7"/>
      <c r="D44" s="5"/>
      <c r="E44" s="5"/>
      <c r="F44" s="5"/>
      <c r="G44" s="5"/>
    </row>
    <row r="45" spans="1:7" x14ac:dyDescent="0.25">
      <c r="B45" s="5"/>
      <c r="C45" s="7"/>
      <c r="D45" s="5"/>
      <c r="E45" s="5"/>
      <c r="F45" s="5"/>
      <c r="G45" s="5"/>
    </row>
    <row r="46" spans="1:7" x14ac:dyDescent="0.25">
      <c r="B46" s="5"/>
      <c r="C46" s="7"/>
      <c r="D46" s="5"/>
      <c r="E46" s="5"/>
      <c r="F46" s="5"/>
      <c r="G46" s="5"/>
    </row>
    <row r="47" spans="1:7" x14ac:dyDescent="0.25">
      <c r="B47" s="5"/>
      <c r="C47" s="7"/>
      <c r="D47" s="5"/>
      <c r="E47" s="5"/>
      <c r="F47" s="5"/>
      <c r="G47" s="5"/>
    </row>
    <row r="48" spans="1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I2" sqref="I2:I18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A2" t="s">
        <v>40</v>
      </c>
      <c r="B2" s="5">
        <v>9</v>
      </c>
      <c r="C2" s="7">
        <v>44835</v>
      </c>
      <c r="D2" s="5"/>
      <c r="E2" s="5"/>
      <c r="F2" s="5"/>
      <c r="G2" s="5"/>
      <c r="I2" t="s">
        <v>45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A3" t="s">
        <v>41</v>
      </c>
      <c r="B3" s="5">
        <v>0.7</v>
      </c>
      <c r="C3" s="7">
        <v>44835</v>
      </c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A4" t="s">
        <v>32</v>
      </c>
      <c r="B4" s="5">
        <v>36.6</v>
      </c>
      <c r="C4" s="7">
        <v>44837</v>
      </c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A5" t="s">
        <v>44</v>
      </c>
      <c r="B5" s="5">
        <v>149.35</v>
      </c>
      <c r="C5" s="7">
        <v>44837</v>
      </c>
      <c r="D5" s="5"/>
      <c r="E5" s="5"/>
      <c r="F5" s="5"/>
      <c r="G5" s="5"/>
      <c r="I5" t="s">
        <v>44</v>
      </c>
      <c r="J5" s="5">
        <f>SUMIF(tblJaneiro1214161820226925[Categoria],Tabela313151719212382426[[#This Row],[Categoria]],tblJaneiro1214161820226925[Valor])</f>
        <v>226.66</v>
      </c>
      <c r="L5" s="13">
        <v>43742</v>
      </c>
      <c r="M5">
        <v>4.5</v>
      </c>
    </row>
    <row r="6" spans="1:13" x14ac:dyDescent="0.25">
      <c r="A6" t="s">
        <v>44</v>
      </c>
      <c r="B6" s="5">
        <v>77.31</v>
      </c>
      <c r="C6" s="7">
        <v>44837</v>
      </c>
      <c r="D6" s="5"/>
      <c r="E6" s="5"/>
      <c r="F6" s="5"/>
      <c r="G6" s="5"/>
      <c r="I6" t="s">
        <v>43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A7" t="s">
        <v>40</v>
      </c>
      <c r="B7" s="5">
        <v>9</v>
      </c>
      <c r="C7" s="7">
        <v>44837</v>
      </c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A8" t="s">
        <v>32</v>
      </c>
      <c r="B8" s="5">
        <v>6.44</v>
      </c>
      <c r="C8" s="7">
        <v>44837</v>
      </c>
      <c r="D8" s="5"/>
      <c r="E8" s="5"/>
      <c r="F8" s="5"/>
      <c r="G8" s="5"/>
      <c r="I8" t="s">
        <v>48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A9" t="s">
        <v>31</v>
      </c>
      <c r="B9" s="5">
        <v>13.56</v>
      </c>
      <c r="C9" s="7">
        <v>44837</v>
      </c>
      <c r="D9" s="5"/>
      <c r="E9" s="5"/>
      <c r="F9" s="5"/>
      <c r="G9" s="5"/>
      <c r="I9" t="s">
        <v>49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43.04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13.56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18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0.7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301.95999999999998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2022-10-03T14:07:14Z</dcterms:modified>
</cp:coreProperties>
</file>