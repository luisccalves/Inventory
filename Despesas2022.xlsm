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uisalves\OneDrive - OTIS Elevator\Documents\Projetos Python\Inventory\"/>
    </mc:Choice>
  </mc:AlternateContent>
  <xr:revisionPtr revIDLastSave="0" documentId="13_ncr:1_{3A58CF05-D128-4F5B-BF2D-A6F97A0179B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2022" sheetId="1" r:id="rId1"/>
    <sheet name="Jan" sheetId="2" r:id="rId2"/>
    <sheet name="Fev" sheetId="8" r:id="rId3"/>
    <sheet name="Mar" sheetId="9" r:id="rId4"/>
    <sheet name="Abr" sheetId="10" r:id="rId5"/>
    <sheet name="Mai" sheetId="11" r:id="rId6"/>
    <sheet name="Jun" sheetId="12" r:id="rId7"/>
    <sheet name="Jul" sheetId="13" r:id="rId8"/>
    <sheet name="Ago" sheetId="14" r:id="rId9"/>
    <sheet name="Set" sheetId="15" r:id="rId10"/>
    <sheet name="Out" sheetId="16" r:id="rId11"/>
    <sheet name="Nov" sheetId="17" r:id="rId12"/>
    <sheet name="Dez" sheetId="18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3" i="16" l="1"/>
  <c r="M33" i="14"/>
  <c r="M33" i="13"/>
  <c r="M32" i="12"/>
  <c r="M33" i="11"/>
  <c r="M32" i="10"/>
  <c r="M33" i="9"/>
  <c r="M30" i="8"/>
  <c r="M33" i="2"/>
  <c r="J18" i="18"/>
  <c r="N19" i="1" s="1"/>
  <c r="J13" i="17"/>
  <c r="M14" i="1" s="1"/>
  <c r="J18" i="17"/>
  <c r="M19" i="1" s="1"/>
  <c r="J13" i="16"/>
  <c r="L14" i="1" s="1"/>
  <c r="J18" i="16"/>
  <c r="L19" i="1" s="1"/>
  <c r="J18" i="15"/>
  <c r="K19" i="1" s="1"/>
  <c r="J13" i="14"/>
  <c r="J14" i="1" s="1"/>
  <c r="J18" i="14"/>
  <c r="J19" i="1" s="1"/>
  <c r="J13" i="13"/>
  <c r="I14" i="1" s="1"/>
  <c r="J18" i="13"/>
  <c r="I19" i="1" s="1"/>
  <c r="J18" i="12"/>
  <c r="H19" i="1" s="1"/>
  <c r="J18" i="11"/>
  <c r="G19" i="1" s="1"/>
  <c r="J18" i="10"/>
  <c r="F19" i="1" s="1"/>
  <c r="J13" i="9"/>
  <c r="E14" i="1" s="1"/>
  <c r="J15" i="9"/>
  <c r="E16" i="1" s="1"/>
  <c r="J18" i="9"/>
  <c r="E19" i="1" s="1"/>
  <c r="J13" i="8"/>
  <c r="D14" i="1" s="1"/>
  <c r="J15" i="8"/>
  <c r="D16" i="1" s="1"/>
  <c r="J18" i="8"/>
  <c r="D19" i="1" s="1"/>
  <c r="J13" i="2"/>
  <c r="C14" i="1" s="1"/>
  <c r="J15" i="2"/>
  <c r="C16" i="1" s="1"/>
  <c r="J16" i="2"/>
  <c r="C17" i="1" s="1"/>
  <c r="J9" i="18" l="1"/>
  <c r="N10" i="1" s="1"/>
  <c r="J6" i="18"/>
  <c r="N7" i="1" s="1"/>
  <c r="J17" i="18"/>
  <c r="N18" i="1" s="1"/>
  <c r="J12" i="18"/>
  <c r="N13" i="1" s="1"/>
  <c r="J14" i="18"/>
  <c r="N15" i="1" s="1"/>
  <c r="J5" i="18"/>
  <c r="N6" i="1" s="1"/>
  <c r="J3" i="18"/>
  <c r="N4" i="1" s="1"/>
  <c r="J10" i="18"/>
  <c r="N11" i="1" s="1"/>
  <c r="J7" i="18"/>
  <c r="N8" i="1" s="1"/>
  <c r="J4" i="18"/>
  <c r="N5" i="1" s="1"/>
  <c r="J11" i="18"/>
  <c r="N12" i="1" s="1"/>
  <c r="J2" i="18"/>
  <c r="N3" i="1" s="1"/>
  <c r="J13" i="18"/>
  <c r="N14" i="1" s="1"/>
  <c r="J8" i="17"/>
  <c r="M9" i="1" s="1"/>
  <c r="J4" i="17"/>
  <c r="M5" i="1" s="1"/>
  <c r="J15" i="17"/>
  <c r="M16" i="1" s="1"/>
  <c r="J17" i="17"/>
  <c r="M18" i="1" s="1"/>
  <c r="J3" i="17"/>
  <c r="M4" i="1" s="1"/>
  <c r="J4" i="16"/>
  <c r="L5" i="1" s="1"/>
  <c r="J17" i="16"/>
  <c r="L18" i="1" s="1"/>
  <c r="J14" i="16"/>
  <c r="L15" i="1" s="1"/>
  <c r="J8" i="16"/>
  <c r="L9" i="1" s="1"/>
  <c r="J5" i="16"/>
  <c r="L6" i="1" s="1"/>
  <c r="J3" i="16"/>
  <c r="L4" i="1" s="1"/>
  <c r="J3" i="15"/>
  <c r="K4" i="1" s="1"/>
  <c r="J2" i="15"/>
  <c r="K3" i="1" s="1"/>
  <c r="J17" i="15"/>
  <c r="K18" i="1" s="1"/>
  <c r="J13" i="15"/>
  <c r="K14" i="1" s="1"/>
  <c r="J12" i="15"/>
  <c r="K13" i="1" s="1"/>
  <c r="J8" i="15"/>
  <c r="K9" i="1" s="1"/>
  <c r="J14" i="15"/>
  <c r="K15" i="1" s="1"/>
  <c r="J9" i="15"/>
  <c r="K10" i="1" s="1"/>
  <c r="J5" i="15"/>
  <c r="K6" i="1" s="1"/>
  <c r="J11" i="15"/>
  <c r="K12" i="1" s="1"/>
  <c r="J11" i="14"/>
  <c r="J12" i="1" s="1"/>
  <c r="J2" i="14"/>
  <c r="J3" i="1" s="1"/>
  <c r="J8" i="14"/>
  <c r="J9" i="1" s="1"/>
  <c r="J3" i="14"/>
  <c r="J4" i="1" s="1"/>
  <c r="J5" i="14"/>
  <c r="J6" i="1" s="1"/>
  <c r="J16" i="18" l="1"/>
  <c r="N17" i="1" s="1"/>
  <c r="J16" i="16"/>
  <c r="L17" i="1" s="1"/>
  <c r="J5" i="17"/>
  <c r="M6" i="1" s="1"/>
  <c r="J8" i="18"/>
  <c r="N9" i="1" s="1"/>
  <c r="J6" i="14"/>
  <c r="J7" i="1" s="1"/>
  <c r="J15" i="14"/>
  <c r="J16" i="1" s="1"/>
  <c r="J15" i="15"/>
  <c r="K16" i="1" s="1"/>
  <c r="J6" i="15"/>
  <c r="K7" i="1" s="1"/>
  <c r="J16" i="15"/>
  <c r="K17" i="1" s="1"/>
  <c r="J2" i="17"/>
  <c r="M3" i="1" s="1"/>
  <c r="J17" i="14"/>
  <c r="J18" i="1" s="1"/>
  <c r="J15" i="16"/>
  <c r="L16" i="1" s="1"/>
  <c r="J2" i="16"/>
  <c r="L3" i="1" s="1"/>
  <c r="J14" i="17"/>
  <c r="M15" i="1" s="1"/>
  <c r="J15" i="18"/>
  <c r="N16" i="1" s="1"/>
  <c r="J16" i="14"/>
  <c r="J17" i="1" s="1"/>
  <c r="J4" i="14"/>
  <c r="J5" i="1" s="1"/>
  <c r="J7" i="15"/>
  <c r="K8" i="1" s="1"/>
  <c r="J4" i="15"/>
  <c r="K5" i="1" s="1"/>
  <c r="J16" i="17"/>
  <c r="M17" i="1" s="1"/>
  <c r="J10" i="15"/>
  <c r="K11" i="1" s="1"/>
  <c r="J12" i="14"/>
  <c r="J13" i="1" s="1"/>
  <c r="J14" i="14"/>
  <c r="J15" i="1" s="1"/>
  <c r="J10" i="17"/>
  <c r="M11" i="1" s="1"/>
  <c r="J12" i="17"/>
  <c r="M13" i="1" s="1"/>
  <c r="J9" i="17"/>
  <c r="M10" i="1" s="1"/>
  <c r="J6" i="16"/>
  <c r="L7" i="1" s="1"/>
  <c r="J11" i="16"/>
  <c r="L12" i="1" s="1"/>
  <c r="J7" i="16"/>
  <c r="L8" i="1" s="1"/>
  <c r="J12" i="16"/>
  <c r="L13" i="1" s="1"/>
  <c r="J10" i="16"/>
  <c r="L11" i="1" s="1"/>
  <c r="J9" i="16"/>
  <c r="L10" i="1" s="1"/>
  <c r="J7" i="14"/>
  <c r="J8" i="1" s="1"/>
  <c r="J6" i="17"/>
  <c r="M7" i="1" s="1"/>
  <c r="J7" i="17"/>
  <c r="M8" i="1" s="1"/>
  <c r="J11" i="17"/>
  <c r="M12" i="1" s="1"/>
  <c r="J9" i="14"/>
  <c r="J10" i="1" s="1"/>
  <c r="J10" i="14"/>
  <c r="J11" i="1" s="1"/>
  <c r="J8" i="13"/>
  <c r="I9" i="1" s="1"/>
  <c r="J4" i="13"/>
  <c r="I5" i="1" s="1"/>
  <c r="J6" i="13"/>
  <c r="I7" i="1" s="1"/>
  <c r="J16" i="13"/>
  <c r="I17" i="1" s="1"/>
  <c r="J11" i="13"/>
  <c r="I12" i="1" s="1"/>
  <c r="J2" i="13"/>
  <c r="J3" i="12"/>
  <c r="H4" i="1" s="1"/>
  <c r="J4" i="12"/>
  <c r="H5" i="1" s="1"/>
  <c r="J16" i="12"/>
  <c r="H17" i="1" s="1"/>
  <c r="J14" i="12"/>
  <c r="H15" i="1" s="1"/>
  <c r="J2" i="12"/>
  <c r="J15" i="11"/>
  <c r="G16" i="1" s="1"/>
  <c r="J2" i="11"/>
  <c r="J17" i="11"/>
  <c r="G18" i="1" s="1"/>
  <c r="J11" i="11"/>
  <c r="G12" i="1" s="1"/>
  <c r="J9" i="11"/>
  <c r="G10" i="1" s="1"/>
  <c r="J3" i="11"/>
  <c r="G4" i="1" s="1"/>
  <c r="J9" i="10"/>
  <c r="F10" i="1" s="1"/>
  <c r="J13" i="10"/>
  <c r="F14" i="1" s="1"/>
  <c r="J2" i="10"/>
  <c r="J6" i="10"/>
  <c r="F7" i="1" s="1"/>
  <c r="J11" i="10"/>
  <c r="F12" i="1" s="1"/>
  <c r="J4" i="10"/>
  <c r="F5" i="1" s="1"/>
  <c r="J17" i="10"/>
  <c r="F18" i="1" s="1"/>
  <c r="J8" i="10"/>
  <c r="F9" i="1" s="1"/>
  <c r="J3" i="10"/>
  <c r="F4" i="1" s="1"/>
  <c r="J12" i="10"/>
  <c r="F13" i="1" s="1"/>
  <c r="J17" i="9"/>
  <c r="E18" i="1" s="1"/>
  <c r="J9" i="9"/>
  <c r="E10" i="1" s="1"/>
  <c r="J8" i="9"/>
  <c r="E9" i="1" s="1"/>
  <c r="J3" i="9"/>
  <c r="E4" i="1" s="1"/>
  <c r="J5" i="9"/>
  <c r="E6" i="1" s="1"/>
  <c r="J2" i="9"/>
  <c r="J3" i="8"/>
  <c r="D4" i="1" s="1"/>
  <c r="J8" i="8"/>
  <c r="D9" i="1" s="1"/>
  <c r="J17" i="8"/>
  <c r="D18" i="1" s="1"/>
  <c r="J11" i="8"/>
  <c r="D12" i="1" s="1"/>
  <c r="J9" i="8"/>
  <c r="D10" i="1" s="1"/>
  <c r="J5" i="8"/>
  <c r="D6" i="1" s="1"/>
  <c r="J2" i="8"/>
  <c r="J4" i="8"/>
  <c r="D5" i="1" s="1"/>
  <c r="J19" i="18" l="1"/>
  <c r="J14" i="8"/>
  <c r="D15" i="1" s="1"/>
  <c r="J16" i="9"/>
  <c r="E17" i="1" s="1"/>
  <c r="J11" i="9"/>
  <c r="E12" i="1" s="1"/>
  <c r="J14" i="10"/>
  <c r="F15" i="1" s="1"/>
  <c r="J16" i="11"/>
  <c r="G17" i="1" s="1"/>
  <c r="J14" i="13"/>
  <c r="I15" i="1" s="1"/>
  <c r="J17" i="13"/>
  <c r="I18" i="1" s="1"/>
  <c r="J16" i="10"/>
  <c r="F17" i="1" s="1"/>
  <c r="J17" i="12"/>
  <c r="H18" i="1" s="1"/>
  <c r="J3" i="13"/>
  <c r="I4" i="1" s="1"/>
  <c r="J12" i="13"/>
  <c r="I13" i="1" s="1"/>
  <c r="J6" i="11"/>
  <c r="G7" i="1" s="1"/>
  <c r="J11" i="12"/>
  <c r="H12" i="1" s="1"/>
  <c r="J13" i="12"/>
  <c r="H14" i="1" s="1"/>
  <c r="J4" i="11"/>
  <c r="G5" i="1" s="1"/>
  <c r="J16" i="8"/>
  <c r="D17" i="1" s="1"/>
  <c r="J8" i="11"/>
  <c r="G9" i="1" s="1"/>
  <c r="J19" i="16"/>
  <c r="J19" i="15"/>
  <c r="J15" i="13"/>
  <c r="I16" i="1" s="1"/>
  <c r="J12" i="12"/>
  <c r="H13" i="1" s="1"/>
  <c r="J15" i="12"/>
  <c r="H16" i="1" s="1"/>
  <c r="J13" i="11"/>
  <c r="G14" i="1" s="1"/>
  <c r="J14" i="11"/>
  <c r="G15" i="1" s="1"/>
  <c r="J15" i="10"/>
  <c r="F16" i="1" s="1"/>
  <c r="J7" i="9"/>
  <c r="E8" i="1" s="1"/>
  <c r="J4" i="9"/>
  <c r="E5" i="1" s="1"/>
  <c r="J14" i="9"/>
  <c r="E15" i="1" s="1"/>
  <c r="J6" i="9"/>
  <c r="E7" i="1" s="1"/>
  <c r="J6" i="8"/>
  <c r="D7" i="1" s="1"/>
  <c r="J10" i="13"/>
  <c r="I11" i="1" s="1"/>
  <c r="I3" i="1"/>
  <c r="J8" i="12"/>
  <c r="H9" i="1" s="1"/>
  <c r="H3" i="1"/>
  <c r="G3" i="1"/>
  <c r="J5" i="11"/>
  <c r="G6" i="1" s="1"/>
  <c r="F3" i="1"/>
  <c r="J10" i="8"/>
  <c r="D11" i="1" s="1"/>
  <c r="D3" i="1"/>
  <c r="J7" i="8"/>
  <c r="D8" i="1" s="1"/>
  <c r="E3" i="1"/>
  <c r="J7" i="13"/>
  <c r="I8" i="1" s="1"/>
  <c r="J9" i="13"/>
  <c r="I10" i="1" s="1"/>
  <c r="J5" i="13"/>
  <c r="I6" i="1" s="1"/>
  <c r="J6" i="12"/>
  <c r="H7" i="1" s="1"/>
  <c r="J12" i="11"/>
  <c r="G13" i="1" s="1"/>
  <c r="J7" i="10"/>
  <c r="F8" i="1" s="1"/>
  <c r="J5" i="10"/>
  <c r="F6" i="1" s="1"/>
  <c r="J12" i="9"/>
  <c r="E13" i="1" s="1"/>
  <c r="J12" i="8"/>
  <c r="D13" i="1" s="1"/>
  <c r="J19" i="17"/>
  <c r="J19" i="14"/>
  <c r="J10" i="12"/>
  <c r="H11" i="1" s="1"/>
  <c r="J5" i="12"/>
  <c r="H6" i="1" s="1"/>
  <c r="J9" i="12"/>
  <c r="H10" i="1" s="1"/>
  <c r="J7" i="12"/>
  <c r="H8" i="1" s="1"/>
  <c r="J10" i="11"/>
  <c r="G11" i="1" s="1"/>
  <c r="J7" i="11"/>
  <c r="G8" i="1" s="1"/>
  <c r="J10" i="10"/>
  <c r="F11" i="1" s="1"/>
  <c r="J10" i="9"/>
  <c r="E11" i="1" s="1"/>
  <c r="J18" i="2"/>
  <c r="C19" i="1" s="1"/>
  <c r="J17" i="2"/>
  <c r="C18" i="1" s="1"/>
  <c r="O17" i="1" l="1"/>
  <c r="J14" i="2"/>
  <c r="C15" i="1" s="1"/>
  <c r="O15" i="1" s="1"/>
  <c r="J19" i="13"/>
  <c r="J19" i="12"/>
  <c r="J19" i="11"/>
  <c r="J19" i="10"/>
  <c r="J19" i="8"/>
  <c r="J19" i="9"/>
  <c r="O19" i="1"/>
  <c r="O18" i="1"/>
  <c r="O16" i="1"/>
  <c r="O14" i="1"/>
  <c r="J5" i="2"/>
  <c r="C6" i="1" s="1"/>
  <c r="J6" i="2"/>
  <c r="C7" i="1" s="1"/>
  <c r="J7" i="2"/>
  <c r="C8" i="1" s="1"/>
  <c r="J8" i="2"/>
  <c r="C9" i="1" s="1"/>
  <c r="J9" i="2"/>
  <c r="C10" i="1" s="1"/>
  <c r="J10" i="2"/>
  <c r="C11" i="1" s="1"/>
  <c r="J11" i="2"/>
  <c r="J12" i="2"/>
  <c r="C13" i="1" s="1"/>
  <c r="C12" i="1" l="1"/>
  <c r="O12" i="1" s="1"/>
  <c r="O11" i="1"/>
  <c r="O13" i="1"/>
  <c r="J2" i="2"/>
  <c r="C3" i="1" s="1"/>
  <c r="J3" i="2"/>
  <c r="J4" i="2"/>
  <c r="O6" i="1"/>
  <c r="O7" i="1"/>
  <c r="O8" i="1"/>
  <c r="O9" i="1"/>
  <c r="O10" i="1"/>
  <c r="O28" i="1"/>
  <c r="C5" i="1" l="1"/>
  <c r="O5" i="1" s="1"/>
  <c r="C4" i="1"/>
  <c r="O4" i="1" s="1"/>
  <c r="O3" i="1"/>
  <c r="J19" i="2"/>
  <c r="O26" i="1"/>
  <c r="O27" i="1"/>
  <c r="D20" i="1"/>
  <c r="E20" i="1"/>
  <c r="F20" i="1"/>
  <c r="G20" i="1"/>
  <c r="H20" i="1"/>
  <c r="I20" i="1"/>
  <c r="J20" i="1"/>
  <c r="K20" i="1"/>
  <c r="L20" i="1"/>
  <c r="M20" i="1"/>
  <c r="N20" i="1"/>
  <c r="N29" i="1"/>
  <c r="M29" i="1"/>
  <c r="L29" i="1"/>
  <c r="K29" i="1"/>
  <c r="J29" i="1"/>
  <c r="I29" i="1"/>
  <c r="H29" i="1"/>
  <c r="G29" i="1"/>
  <c r="F29" i="1"/>
  <c r="E29" i="1"/>
  <c r="D29" i="1"/>
  <c r="C29" i="1"/>
  <c r="C20" i="1" l="1"/>
  <c r="C22" i="1" s="1"/>
  <c r="C23" i="1" s="1"/>
  <c r="N22" i="1"/>
  <c r="M22" i="1"/>
  <c r="J22" i="1"/>
  <c r="I22" i="1"/>
  <c r="F22" i="1"/>
  <c r="E22" i="1"/>
  <c r="K22" i="1"/>
  <c r="G22" i="1"/>
  <c r="L22" i="1"/>
  <c r="H22" i="1"/>
  <c r="D22" i="1"/>
  <c r="O29" i="1"/>
  <c r="O20" i="1"/>
  <c r="D23" i="1" l="1"/>
  <c r="E23" i="1" s="1"/>
  <c r="F23" i="1" s="1"/>
  <c r="G23" i="1" s="1"/>
  <c r="H23" i="1" s="1"/>
  <c r="I23" i="1" s="1"/>
  <c r="J23" i="1" s="1"/>
  <c r="K23" i="1" s="1"/>
  <c r="L23" i="1" s="1"/>
  <c r="M23" i="1" s="1"/>
  <c r="N23" i="1" s="1"/>
</calcChain>
</file>

<file path=xl/sharedStrings.xml><?xml version="1.0" encoding="utf-8"?>
<sst xmlns="http://schemas.openxmlformats.org/spreadsheetml/2006/main" count="392" uniqueCount="48">
  <si>
    <t>Categoria</t>
  </si>
  <si>
    <t>Luz</t>
  </si>
  <si>
    <t>Agua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</si>
  <si>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</si>
  <si>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</si>
  <si>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</si>
  <si>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</si>
  <si>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</si>
  <si>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</si>
  <si>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</si>
  <si>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</si>
  <si>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</si>
  <si>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</si>
  <si>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</si>
  <si>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</si>
  <si>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Despesas</t>
  </si>
  <si>
    <t>Ganhos</t>
  </si>
  <si>
    <t>Ordenado</t>
  </si>
  <si>
    <t>Total</t>
  </si>
  <si>
    <t>Misc</t>
  </si>
  <si>
    <t>Trends</t>
  </si>
  <si>
    <t>Saldo</t>
  </si>
  <si>
    <t>Refeição</t>
  </si>
  <si>
    <t>Valor</t>
  </si>
  <si>
    <t>Data</t>
  </si>
  <si>
    <t>Nos</t>
  </si>
  <si>
    <t xml:space="preserve">Carro </t>
  </si>
  <si>
    <t>Gasoleo</t>
  </si>
  <si>
    <t>Restaurante</t>
  </si>
  <si>
    <t>Viagem</t>
  </si>
  <si>
    <t>Via Verde</t>
  </si>
  <si>
    <t>Levantamento</t>
  </si>
  <si>
    <t>Mercearia</t>
  </si>
  <si>
    <t>Categoria #2</t>
  </si>
  <si>
    <t>Crédito</t>
  </si>
  <si>
    <t>Débito</t>
  </si>
  <si>
    <t>Descrição</t>
  </si>
  <si>
    <t>Roupa</t>
  </si>
  <si>
    <t>Informatica</t>
  </si>
  <si>
    <t>SL</t>
  </si>
  <si>
    <t>Tabaco</t>
  </si>
  <si>
    <t>Conta</t>
  </si>
  <si>
    <t>Impostos</t>
  </si>
  <si>
    <t>Combustivel</t>
  </si>
  <si>
    <t>Veiculos</t>
  </si>
  <si>
    <t>Luz/Gaz</t>
  </si>
  <si>
    <t>Diogo</t>
  </si>
  <si>
    <t>vending otis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</si>
</sst>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* #,##0.00\ &quot;€&quot;_-;\-* #,##0.00\ &quot;€&quot;_-;_-* &quot;-&quot;??\ &quot;€&quot;_-;_-@_-"/>
    <numFmt numFmtId="164" formatCode="#,##0.00\ &quot;€&quot;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44" fontId="1" fillId="0" borderId="0" applyFont="0" applyFill="0" applyBorder="0" applyAlignment="0" applyProtection="0"/>
  </cellStyleXfs>
  <cellXfs count="1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1" fillId="2" borderId="0" xfId="1" applyNumberFormat="1" applyAlignment="1">
      <alignment horizontal="center" vertical="center"/>
    </xf>
    <xf numFmtId="44" fontId="0" fillId="0" borderId="0" xfId="2" applyFont="1"/>
    <xf numFmtId="0" fontId="0" fillId="3" borderId="0" xfId="0" applyFill="1"/>
    <xf numFmtId="14" fontId="0" fillId="0" borderId="0" xfId="2" applyNumberFormat="1" applyFont="1"/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44" fontId="0" fillId="0" borderId="0" xfId="2" applyFont="1" applyAlignment="1">
      <alignment horizontal="center" vertical="center"/>
    </xf>
    <xf numFmtId="44" fontId="0" fillId="0" borderId="0" xfId="0" applyNumberFormat="1"/>
    <xf numFmtId="14" fontId="0" fillId="0" borderId="0" xfId="0" applyNumberFormat="1"/>
    <xf numFmtId="0" fontId="2" fillId="0" borderId="0" xfId="0" applyFont="1" applyAlignment="1">
      <alignment horizontal="center"/>
    </xf>
    <xf numFmtId="164" fontId="1" fillId="2" borderId="1" xfId="1" applyNumberFormat="1" applyBorder="1" applyAlignment="1">
      <alignment horizontal="center"/>
    </xf>
    <xf numFmtId="164" fontId="1" fillId="2" borderId="2" xfId="1" applyNumberFormat="1" applyBorder="1" applyAlignment="1">
      <alignment horizontal="center"/>
    </xf>
    <xf numFmtId="0" fontId="1" fillId="2" borderId="1" xfId="1" applyBorder="1" applyAlignment="1">
      <alignment horizontal="center"/>
    </xf>
    <xf numFmtId="0" fontId="1" fillId="2" borderId="2" xfId="1" applyBorder="1" applyAlignment="1">
      <alignment horizontal="center"/>
    </xf>
  </cellXfs>
  <cellStyles count="3">
    <cellStyle name="40% - Accent1" xfId="1" builtinId="31"/>
    <cellStyle name="Currency" xfId="2" builtinId="4"/>
    <cellStyle name="Normal" xfId="0" builtinId="0"/>
  </cellStyles>
  <dxfs count="177"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5" formatCode="#.##000\ \€"/>
      <alignment horizontal="general" vertical="bottom" textRotation="0" wrapText="0" indent="0" justifyLastLine="0" shrinkToFit="0" readingOrder="0"/>
    </dxf>
    <dxf>
      <numFmt numFmtId="165" formatCode="#.##000\ \€"/>
      <alignment horizontal="general" vertical="bottom" textRotation="0" wrapText="0" indent="0" justifyLastLine="0" shrinkToFit="0" readingOrder="0"/>
    </dxf>
    <dxf>
      <numFmt numFmtId="164" formatCode="#,##0.00\ &quot;€&quot;"/>
      <alignment horizontal="general" vertical="bottom" textRotation="0" wrapText="0" indent="0" justifyLastLine="0" shrinkToFit="0" readingOrder="0"/>
    </dxf>
    <dxf>
      <fill>
        <patternFill>
          <bgColor theme="4"/>
        </patternFill>
      </fill>
    </dxf>
  </dxfs>
  <tableStyles count="3" defaultTableStyle="TableStyleMedium2" defaultPivotStyle="PivotStyleLight16">
    <tableStyle name="Invisible" pivot="0" table="0" count="0" xr9:uid="{E5EA34A3-2876-473D-BE0E-EEDB26960261}"/>
    <tableStyle name="PivotTable Style 1" table="0" count="0" xr9:uid="{00000000-0011-0000-FFFF-FFFF00000000}"/>
    <tableStyle name="Table Style 1" pivot="0" count="1" xr9:uid="{00000000-0011-0000-FFFF-FFFF01000000}">
      <tableStyleElement type="headerRow" dxfId="17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'2022'!$B$3</c:f>
              <c:strCache>
                <c:ptCount val="1"/>
                <c:pt idx="0">
                  <c:v>Luz/Gaz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'2022'!$C$3:$N$3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93-4031-832A-D5181430D4BC}"/>
            </c:ext>
          </c:extLst>
        </c:ser>
        <c:ser>
          <c:idx val="1"/>
          <c:order val="1"/>
          <c:tx>
            <c:strRef>
              <c:f>'2022'!$B$4</c:f>
              <c:strCache>
                <c:ptCount val="1"/>
                <c:pt idx="0">
                  <c:v>Agua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'2022'!$C$4:$N$4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93-4031-832A-D5181430D4BC}"/>
            </c:ext>
          </c:extLst>
        </c:ser>
        <c:ser>
          <c:idx val="2"/>
          <c:order val="2"/>
          <c:tx>
            <c:strRef>
              <c:f>'2022'!$B$5</c:f>
              <c:strCache>
                <c:ptCount val="1"/>
                <c:pt idx="0">
                  <c:v>Nos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'2022'!$C$5:$N$5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93-4031-832A-D5181430D4BC}"/>
            </c:ext>
          </c:extLst>
        </c:ser>
        <c:ser>
          <c:idx val="4"/>
          <c:order val="3"/>
          <c:tx>
            <c:strRef>
              <c:f>'2022'!$B$6</c:f>
              <c:strCache>
                <c:ptCount val="1"/>
                <c:pt idx="0">
                  <c:v>Veiculos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'2022'!$C$6:$N$6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93-4031-832A-D5181430D4BC}"/>
            </c:ext>
          </c:extLst>
        </c:ser>
        <c:ser>
          <c:idx val="5"/>
          <c:order val="4"/>
          <c:tx>
            <c:strRef>
              <c:f>'2022'!$B$7</c:f>
              <c:strCache>
                <c:ptCount val="1"/>
                <c:pt idx="0">
                  <c:v>Combustivel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'2022'!$C$7:$N$7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93-4031-832A-D5181430D4BC}"/>
            </c:ext>
          </c:extLst>
        </c:ser>
        <c:ser>
          <c:idx val="6"/>
          <c:order val="5"/>
          <c:tx>
            <c:strRef>
              <c:f>'2022'!$B$8</c:f>
              <c:strCache>
                <c:ptCount val="1"/>
                <c:pt idx="0">
                  <c:v>Restaurante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'2022'!$C$8:$N$8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93-4031-832A-D5181430D4BC}"/>
            </c:ext>
          </c:extLst>
        </c:ser>
        <c:ser>
          <c:idx val="7"/>
          <c:order val="6"/>
          <c:tx>
            <c:strRef>
              <c:f>'2022'!$B$9</c:f>
              <c:strCache>
                <c:ptCount val="1"/>
                <c:pt idx="0">
                  <c:v>Viagem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'2022'!$C$9:$N$9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93-4031-832A-D5181430D4BC}"/>
            </c:ext>
          </c:extLst>
        </c:ser>
        <c:ser>
          <c:idx val="8"/>
          <c:order val="7"/>
          <c:tx>
            <c:strRef>
              <c:f>'2022'!$B$10</c:f>
              <c:strCache>
                <c:ptCount val="1"/>
                <c:pt idx="0">
                  <c:v>Via Verde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'2022'!$C$10:$N$10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93-4031-832A-D5181430D4BC}"/>
            </c:ext>
          </c:extLst>
        </c:ser>
        <c:ser>
          <c:idx val="9"/>
          <c:order val="8"/>
          <c:tx>
            <c:strRef>
              <c:f>'2022'!$B$11</c:f>
              <c:strCache>
                <c:ptCount val="1"/>
                <c:pt idx="0">
                  <c:v>Misc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'2022'!$C$11:$N$11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193-4031-832A-D5181430D4BC}"/>
            </c:ext>
          </c:extLst>
        </c:ser>
        <c:ser>
          <c:idx val="10"/>
          <c:order val="9"/>
          <c:tx>
            <c:strRef>
              <c:f>'2022'!$B$12</c:f>
              <c:strCache>
                <c:ptCount val="1"/>
                <c:pt idx="0">
                  <c:v>Mercearia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'2022'!$C$12:$N$12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27.009999999999998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193-4031-832A-D5181430D4BC}"/>
            </c:ext>
          </c:extLst>
        </c:ser>
        <c:ser>
          <c:idx val="3"/>
          <c:order val="10"/>
          <c:tx>
            <c:strRef>
              <c:f>'2022'!$B$13</c:f>
              <c:strCache>
                <c:ptCount val="1"/>
                <c:pt idx="0">
                  <c:v>Levantamento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'2022'!$C$13:$N$13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944-41C4-B043-986E209AD1B1}"/>
            </c:ext>
          </c:extLst>
        </c:ser>
        <c:ser>
          <c:idx val="11"/>
          <c:order val="11"/>
          <c:tx>
            <c:strRef>
              <c:f>'2022'!$B$14</c:f>
              <c:strCache>
                <c:ptCount val="1"/>
                <c:pt idx="0">
                  <c:v>Roupa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'2022'!$C$14:$N$14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944-41C4-B043-986E209AD1B1}"/>
            </c:ext>
          </c:extLst>
        </c:ser>
        <c:ser>
          <c:idx val="12"/>
          <c:order val="12"/>
          <c:tx>
            <c:strRef>
              <c:f>'2022'!$B$15</c:f>
              <c:strCache>
                <c:ptCount val="1"/>
                <c:pt idx="0">
                  <c:v>Informatica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'2022'!$C$15:$N$15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944-41C4-B043-986E209AD1B1}"/>
            </c:ext>
          </c:extLst>
        </c:ser>
        <c:ser>
          <c:idx val="13"/>
          <c:order val="13"/>
          <c:tx>
            <c:strRef>
              <c:f>'2022'!$B$16</c:f>
              <c:strCache>
                <c:ptCount val="1"/>
                <c:pt idx="0">
                  <c:v>SL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'2022'!$C$16:$N$16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944-41C4-B043-986E209AD1B1}"/>
            </c:ext>
          </c:extLst>
        </c:ser>
        <c:ser>
          <c:idx val="14"/>
          <c:order val="14"/>
          <c:tx>
            <c:strRef>
              <c:f>'2022'!$B$17</c:f>
              <c:strCache>
                <c:ptCount val="1"/>
                <c:pt idx="0">
                  <c:v>Tabaco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'2022'!$C$17:$N$17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944-41C4-B043-986E209AD1B1}"/>
            </c:ext>
          </c:extLst>
        </c:ser>
        <c:ser>
          <c:idx val="15"/>
          <c:order val="15"/>
          <c:tx>
            <c:strRef>
              <c:f>'2022'!$B$18</c:f>
              <c:strCache>
                <c:ptCount val="1"/>
                <c:pt idx="0">
                  <c:v>Conta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'2022'!$C$18:$N$18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944-41C4-B043-986E209AD1B1}"/>
            </c:ext>
          </c:extLst>
        </c:ser>
        <c:ser>
          <c:idx val="16"/>
          <c:order val="16"/>
          <c:tx>
            <c:strRef>
              <c:f>'2022'!$B$19</c:f>
              <c:strCache>
                <c:ptCount val="1"/>
                <c:pt idx="0">
                  <c:v>Impostos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'2022'!$C$19:$N$19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944-41C4-B043-986E209AD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445888"/>
        <c:axId val="96476480"/>
      </c:barChart>
      <c:catAx>
        <c:axId val="1294458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96476480"/>
        <c:crosses val="autoZero"/>
        <c:auto val="1"/>
        <c:lblAlgn val="ctr"/>
        <c:lblOffset val="100"/>
        <c:noMultiLvlLbl val="0"/>
      </c:catAx>
      <c:valAx>
        <c:axId val="96476480"/>
        <c:scaling>
          <c:orientation val="minMax"/>
        </c:scaling>
        <c:delete val="0"/>
        <c:axPos val="l"/>
        <c:majorGridlines/>
        <c:numFmt formatCode="#\ ##0.00\ &quot;€&quot;" sourceLinked="1"/>
        <c:majorTickMark val="out"/>
        <c:minorTickMark val="none"/>
        <c:tickLblPos val="nextTo"/>
        <c:crossAx val="1294458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3"/>
    </mc:Choice>
    <mc:Fallback>
      <c:style val="23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'2022'!$O$2</c:f>
              <c:strCache>
                <c:ptCount val="1"/>
                <c:pt idx="0">
                  <c:v>Total</c:v>
                </c:pt>
              </c:strCache>
            </c:strRef>
          </c:tx>
          <c:explosion val="25"/>
          <c:dLbls>
            <c:spPr>
              <a:noFill/>
              <a:ln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'2022'!$B$3:$B$19</c:f>
              <c:strCache>
                <c:ptCount val="17"/>
                <c:pt idx="0">
                  <c:v>Luz/Gaz</c:v>
                </c:pt>
                <c:pt idx="1">
                  <c:v>Agua</c:v>
                </c:pt>
                <c:pt idx="2">
                  <c:v>Nos</c:v>
                </c:pt>
                <c:pt idx="3">
                  <c:v>Veiculos</c:v>
                </c:pt>
                <c:pt idx="4">
                  <c:v>Combustivel</c:v>
                </c:pt>
                <c:pt idx="5">
                  <c:v>Restaurante</c:v>
                </c:pt>
                <c:pt idx="6">
                  <c:v>Viagem</c:v>
                </c:pt>
                <c:pt idx="7">
                  <c:v>Via Verde</c:v>
                </c:pt>
                <c:pt idx="8">
                  <c:v>Misc</c:v>
                </c:pt>
                <c:pt idx="9">
                  <c:v>Mercearia</c:v>
                </c:pt>
                <c:pt idx="10">
                  <c:v>Levantamento</c:v>
                </c:pt>
                <c:pt idx="11">
                  <c:v>Roupa</c:v>
                </c:pt>
                <c:pt idx="12">
                  <c:v>Informatica</c:v>
                </c:pt>
                <c:pt idx="13">
                  <c:v>SL</c:v>
                </c:pt>
                <c:pt idx="14">
                  <c:v>Tabaco</c:v>
                </c:pt>
                <c:pt idx="15">
                  <c:v>Conta</c:v>
                </c:pt>
                <c:pt idx="16">
                  <c:v>Impostos</c:v>
                </c:pt>
              </c:strCache>
            </c:strRef>
          </c:cat>
          <c:val>
            <c:numRef>
              <c:f>'2022'!$O$3:$O$19</c:f>
              <c:numCache>
                <c:formatCode>#\ ##0.00\ "€"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3.2</c:v>
                </c:pt>
                <c:pt idx="6">
                  <c:v>0</c:v>
                </c:pt>
                <c:pt idx="7">
                  <c:v>0</c:v>
                </c:pt>
                <c:pt idx="8">
                  <c:v>120</c:v>
                </c:pt>
                <c:pt idx="9">
                  <c:v>27.009999999999998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9</c:v>
                </c:pt>
                <c:pt idx="15">
                  <c:v>0.17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96-4810-AADF-D58481A3A4DA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'2022'!$B$23</c:f>
              <c:strCache>
                <c:ptCount val="1"/>
                <c:pt idx="0">
                  <c:v>Saldo</c:v>
                </c:pt>
              </c:strCache>
            </c:strRef>
          </c:tx>
          <c:trendline>
            <c:trendlineType val="poly"/>
            <c:order val="2"/>
            <c:dispRSqr val="0"/>
            <c:dispEq val="0"/>
          </c:trendline>
          <c:yVal>
            <c:numRef>
              <c:f>'2022'!$C$23:$N$23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329.31</c:v>
                </c:pt>
                <c:pt idx="9">
                  <c:v>329.31</c:v>
                </c:pt>
                <c:pt idx="10">
                  <c:v>329.31</c:v>
                </c:pt>
                <c:pt idx="11">
                  <c:v>329.31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AC-4DA4-A62E-4FD25EC70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454592"/>
        <c:axId val="128455168"/>
      </c:scatterChart>
      <c:valAx>
        <c:axId val="128454592"/>
        <c:scaling>
          <c:orientation val="minMax"/>
        </c:scaling>
        <c:delete val="0"/>
        <c:axPos val="b"/>
        <c:majorTickMark val="out"/>
        <c:minorTickMark val="none"/>
        <c:tickLblPos val="nextTo"/>
        <c:crossAx val="128455168"/>
        <c:crosses val="autoZero"/>
        <c:crossBetween val="midCat"/>
      </c:valAx>
      <c:valAx>
        <c:axId val="128455168"/>
        <c:scaling>
          <c:orientation val="minMax"/>
        </c:scaling>
        <c:delete val="0"/>
        <c:axPos val="l"/>
        <c:majorGridlines/>
        <c:numFmt formatCode="#\ ##0.00\ &quot;€&quot;" sourceLinked="1"/>
        <c:majorTickMark val="out"/>
        <c:minorTickMark val="none"/>
        <c:tickLblPos val="nextTo"/>
        <c:crossAx val="128454592"/>
        <c:crosses val="autoZero"/>
        <c:crossBetween val="midCat"/>
      </c:valAx>
    </c:plotArea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30</xdr:row>
      <xdr:rowOff>1</xdr:rowOff>
    </xdr:from>
    <xdr:to>
      <xdr:col>16</xdr:col>
      <xdr:colOff>0</xdr:colOff>
      <xdr:row>48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95249</xdr:colOff>
      <xdr:row>0</xdr:row>
      <xdr:rowOff>333374</xdr:rowOff>
    </xdr:from>
    <xdr:to>
      <xdr:col>35</xdr:col>
      <xdr:colOff>0</xdr:colOff>
      <xdr:row>45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16</xdr:col>
      <xdr:colOff>0</xdr:colOff>
      <xdr:row>67</xdr:row>
      <xdr:rowOff>79771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lGanhos" displayName="tblGanhos" ref="B25:P29" totalsRowCount="1" headerRowDxfId="175" dataDxfId="174" totalsRowDxfId="173">
  <tableColumns count="15">
    <tableColumn id="1" xr3:uid="{00000000-0010-0000-0000-000001000000}" name="Categoria" totalsRowLabel="Total" dataDxfId="172" totalsRowDxfId="171"/>
    <tableColumn id="2" xr3:uid="{00000000-0010-0000-0000-000002000000}" name="Jan" totalsRowFunction="sum" dataDxfId="170" totalsRowDxfId="169"/>
    <tableColumn id="3" xr3:uid="{00000000-0010-0000-0000-000003000000}" name="Fev" totalsRowFunction="sum" dataDxfId="168" totalsRowDxfId="167"/>
    <tableColumn id="4" xr3:uid="{00000000-0010-0000-0000-000004000000}" name="Mar" totalsRowFunction="sum" dataDxfId="166" totalsRowDxfId="165"/>
    <tableColumn id="5" xr3:uid="{00000000-0010-0000-0000-000005000000}" name="Abr" totalsRowFunction="sum" dataDxfId="164" totalsRowDxfId="163"/>
    <tableColumn id="6" xr3:uid="{00000000-0010-0000-0000-000006000000}" name="Mai" totalsRowFunction="sum" dataDxfId="162" totalsRowDxfId="161"/>
    <tableColumn id="7" xr3:uid="{00000000-0010-0000-0000-000007000000}" name="Jun" totalsRowFunction="sum" dataDxfId="160" totalsRowDxfId="159"/>
    <tableColumn id="8" xr3:uid="{00000000-0010-0000-0000-000008000000}" name="Jul" totalsRowFunction="sum" dataDxfId="158" totalsRowDxfId="157"/>
    <tableColumn id="9" xr3:uid="{00000000-0010-0000-0000-000009000000}" name="Ago" totalsRowFunction="sum" dataDxfId="156" totalsRowDxfId="155"/>
    <tableColumn id="10" xr3:uid="{00000000-0010-0000-0000-00000A000000}" name="Set" totalsRowFunction="sum" dataDxfId="154" totalsRowDxfId="153"/>
    <tableColumn id="11" xr3:uid="{00000000-0010-0000-0000-00000B000000}" name="Out" totalsRowFunction="sum" dataDxfId="152" totalsRowDxfId="151"/>
    <tableColumn id="12" xr3:uid="{00000000-0010-0000-0000-00000C000000}" name="Nov" totalsRowFunction="sum" dataDxfId="150" totalsRowDxfId="149"/>
    <tableColumn id="13" xr3:uid="{00000000-0010-0000-0000-00000D000000}" name="Dez" totalsRowFunction="sum" dataDxfId="148" totalsRowDxfId="147"/>
    <tableColumn id="16" xr3:uid="{00000000-0010-0000-0000-000010000000}" name="Total" totalsRowFunction="sum" dataDxfId="146" totalsRowDxfId="145" dataCellStyle="Normal">
      <calculatedColumnFormula>SUM(tblGanhos[[#This Row],[Jan]:[Dez]])</calculatedColumnFormula>
    </tableColumn>
    <tableColumn id="17" xr3:uid="{00000000-0010-0000-0000-000011000000}" name="Trends" dataDxfId="144" totalsRowDxfId="143"/>
  </tableColumns>
  <tableStyleInfo name="TableStyleMedium9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blDespesas" displayName="tblDespesas" ref="B2:P20" totalsRowCount="1" headerRowDxfId="142">
  <tableColumns count="15">
    <tableColumn id="1" xr3:uid="{00000000-0010-0000-0100-000001000000}" name="Categoria" totalsRowLabel="Total"/>
    <tableColumn id="2" xr3:uid="{00000000-0010-0000-0100-000002000000}" name="Jan" totalsRowFunction="sum" dataDxfId="141" totalsRowDxfId="140">
      <calculatedColumnFormula>Jan!J2</calculatedColumnFormula>
    </tableColumn>
    <tableColumn id="3" xr3:uid="{00000000-0010-0000-0100-000003000000}" name="Fev" totalsRowFunction="sum" dataDxfId="139" totalsRowDxfId="138">
      <calculatedColumnFormula>Fev!J2</calculatedColumnFormula>
    </tableColumn>
    <tableColumn id="4" xr3:uid="{00000000-0010-0000-0100-000004000000}" name="Mar" totalsRowFunction="sum" dataDxfId="137" totalsRowDxfId="136">
      <calculatedColumnFormula>Mar!J2</calculatedColumnFormula>
    </tableColumn>
    <tableColumn id="5" xr3:uid="{00000000-0010-0000-0100-000005000000}" name="Abr" totalsRowFunction="sum" dataDxfId="135" totalsRowDxfId="134">
      <calculatedColumnFormula>Abr!J2</calculatedColumnFormula>
    </tableColumn>
    <tableColumn id="6" xr3:uid="{00000000-0010-0000-0100-000006000000}" name="Mai" totalsRowFunction="sum" dataDxfId="133" totalsRowDxfId="132">
      <calculatedColumnFormula>Mai!J2</calculatedColumnFormula>
    </tableColumn>
    <tableColumn id="7" xr3:uid="{00000000-0010-0000-0100-000007000000}" name="Jun" totalsRowFunction="sum" dataDxfId="131" totalsRowDxfId="130">
      <calculatedColumnFormula>Jun!J2</calculatedColumnFormula>
    </tableColumn>
    <tableColumn id="8" xr3:uid="{00000000-0010-0000-0100-000008000000}" name="Jul" totalsRowFunction="sum" dataDxfId="129" totalsRowDxfId="128">
      <calculatedColumnFormula>Jul!J2</calculatedColumnFormula>
    </tableColumn>
    <tableColumn id="9" xr3:uid="{00000000-0010-0000-0100-000009000000}" name="Ago" totalsRowFunction="sum" dataDxfId="127" totalsRowDxfId="126">
      <calculatedColumnFormula>Ago!J2</calculatedColumnFormula>
    </tableColumn>
    <tableColumn id="10" xr3:uid="{00000000-0010-0000-0100-00000A000000}" name="Set" totalsRowFunction="sum" dataDxfId="125" totalsRowDxfId="124">
      <calculatedColumnFormula>Set!J2</calculatedColumnFormula>
    </tableColumn>
    <tableColumn id="11" xr3:uid="{00000000-0010-0000-0100-00000B000000}" name="Out" totalsRowFunction="sum" dataDxfId="123" totalsRowDxfId="122">
      <calculatedColumnFormula>Out!J2</calculatedColumnFormula>
    </tableColumn>
    <tableColumn id="12" xr3:uid="{00000000-0010-0000-0100-00000C000000}" name="Nov" totalsRowFunction="sum" dataDxfId="121" totalsRowDxfId="120">
      <calculatedColumnFormula>Nov!J2</calculatedColumnFormula>
    </tableColumn>
    <tableColumn id="13" xr3:uid="{00000000-0010-0000-0100-00000D000000}" name="Dez" totalsRowFunction="sum" dataDxfId="119" totalsRowDxfId="118">
      <calculatedColumnFormula>Dez!J2</calculatedColumnFormula>
    </tableColumn>
    <tableColumn id="16" xr3:uid="{00000000-0010-0000-0100-000010000000}" name="Total" totalsRowFunction="sum" dataDxfId="117" totalsRowDxfId="116" dataCellStyle="Normal">
      <calculatedColumnFormula>SUM(tblDespesas[[#This Row],[Jan]:[Dez]])</calculatedColumnFormula>
    </tableColumn>
    <tableColumn id="17" xr3:uid="{00000000-0010-0000-0100-000011000000}" name="Trends" dataDxfId="115" totalsRowDxfId="114"/>
  </tableColumns>
  <tableStyleInfo name="TableStyleMedium9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le6" displayName="Table6" ref="B22:N23" headerRowCount="0" totalsRowShown="0" headerRowDxfId="113">
  <tableColumns count="13">
    <tableColumn id="1" xr3:uid="{00000000-0010-0000-0200-000001000000}" name="Column1"/>
    <tableColumn id="2" xr3:uid="{00000000-0010-0000-0200-000002000000}" name="Column2" headerRowDxfId="112">
      <calculatedColumnFormula>C22</calculatedColumnFormula>
    </tableColumn>
    <tableColumn id="3" xr3:uid="{00000000-0010-0000-0200-000003000000}" name="Column3" headerRowDxfId="111">
      <calculatedColumnFormula>C23+D22</calculatedColumnFormula>
    </tableColumn>
    <tableColumn id="4" xr3:uid="{00000000-0010-0000-0200-000004000000}" name="Column4" headerRowDxfId="110">
      <calculatedColumnFormula>D23+E22</calculatedColumnFormula>
    </tableColumn>
    <tableColumn id="5" xr3:uid="{00000000-0010-0000-0200-000005000000}" name="Column5" headerRowDxfId="109">
      <calculatedColumnFormula>E23+F22</calculatedColumnFormula>
    </tableColumn>
    <tableColumn id="6" xr3:uid="{00000000-0010-0000-0200-000006000000}" name="Column6" headerRowDxfId="108">
      <calculatedColumnFormula>F23+G22</calculatedColumnFormula>
    </tableColumn>
    <tableColumn id="7" xr3:uid="{00000000-0010-0000-0200-000007000000}" name="Column7" headerRowDxfId="107">
      <calculatedColumnFormula>G23+H22</calculatedColumnFormula>
    </tableColumn>
    <tableColumn id="8" xr3:uid="{00000000-0010-0000-0200-000008000000}" name="Column8" headerRowDxfId="106">
      <calculatedColumnFormula>H23+I22</calculatedColumnFormula>
    </tableColumn>
    <tableColumn id="9" xr3:uid="{00000000-0010-0000-0200-000009000000}" name="Column9" headerRowDxfId="105">
      <calculatedColumnFormula>I23+J22</calculatedColumnFormula>
    </tableColumn>
    <tableColumn id="10" xr3:uid="{00000000-0010-0000-0200-00000A000000}" name="Column10" headerRowDxfId="104">
      <calculatedColumnFormula>J23+K22</calculatedColumnFormula>
    </tableColumn>
    <tableColumn id="11" xr3:uid="{00000000-0010-0000-0200-00000B000000}" name="Column11" headerRowDxfId="103">
      <calculatedColumnFormula>K23+L22</calculatedColumnFormula>
    </tableColumn>
    <tableColumn id="12" xr3:uid="{00000000-0010-0000-0200-00000C000000}" name="Column12" headerRowDxfId="102">
      <calculatedColumnFormula>L23+M22</calculatedColumnFormula>
    </tableColumn>
    <tableColumn id="13" xr3:uid="{00000000-0010-0000-0200-00000D000000}" name="Column13" headerRowDxfId="101">
      <calculatedColumnFormula>M23+N22</calculatedColumnFormula>
    </tableColumn>
  </tableColumns>
  <tableStyleInfo name="TableStyleMedium9" showFirstColumn="1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blJaneiro" displayName="tblJaneiro" ref="A1:G3" totalsRowShown="0" headerRowDxfId="100">
  <autoFilter ref="A1:G3" xr:uid="{00000000-0009-0000-0100-000001000000}"/>
  <sortState xmlns:xlrd2="http://schemas.microsoft.com/office/spreadsheetml/2017/richdata2" ref="A2:G36">
    <sortCondition ref="C1:C36"/>
  </sortState>
  <tableColumns count="7">
    <tableColumn id="1" xr3:uid="{00000000-0010-0000-0300-000001000000}" name="Categoria"/>
    <tableColumn id="2" xr3:uid="{00000000-0010-0000-0300-000002000000}" name="Valor" dataDxfId="99">
      <calculatedColumnFormula>tblJaneiro[[#This Row],[Débito]]</calculatedColumnFormula>
    </tableColumn>
    <tableColumn id="3" xr3:uid="{00000000-0010-0000-0300-000003000000}" name="Data" dataDxfId="98"/>
    <tableColumn id="4" xr3:uid="{00000000-0010-0000-0300-000004000000}" name="Descrição" dataDxfId="97"/>
    <tableColumn id="5" xr3:uid="{00000000-0010-0000-0300-000005000000}" name="Débito" dataDxfId="96"/>
    <tableColumn id="6" xr3:uid="{00000000-0010-0000-0300-000006000000}" name="Crédito" dataDxfId="95"/>
    <tableColumn id="7" xr3:uid="{00000000-0010-0000-0300-000007000000}" name="Categoria #2" dataDxfId="9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ela3" displayName="Tabela3" ref="I1:J19" totalsRowCount="1" headerRowDxfId="93">
  <autoFilter ref="I1:J18" xr:uid="{00000000-0009-0000-0100-000003000000}"/>
  <tableColumns count="2">
    <tableColumn id="1" xr3:uid="{00000000-0010-0000-0400-000001000000}" name="Categoria" totalsRowLabel="Total"/>
    <tableColumn id="2" xr3:uid="{00000000-0010-0000-0400-000002000000}" name="Total" totalsRowFunction="sum">
      <calculatedColumnFormula>SUMIF(tblJaneiro[Categoria],Tabela3[[#This Row],[Categoria]],tblJaneiro[Valor])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5000000}" name="tblJaneiro12" displayName="tblJaneiro12" ref="A1:G3" totalsRowShown="0" headerRowDxfId="92">
  <autoFilter ref="A1:G3" xr:uid="{00000000-0009-0000-0100-00000B000000}"/>
  <sortState xmlns:xlrd2="http://schemas.microsoft.com/office/spreadsheetml/2017/richdata2" ref="A2:G36">
    <sortCondition ref="C1:C36"/>
  </sortState>
  <tableColumns count="7">
    <tableColumn id="1" xr3:uid="{00000000-0010-0000-0500-000001000000}" name="Categoria"/>
    <tableColumn id="2" xr3:uid="{00000000-0010-0000-0500-000002000000}" name="Valor" dataDxfId="91"/>
    <tableColumn id="3" xr3:uid="{00000000-0010-0000-0500-000003000000}" name="Data" dataDxfId="90"/>
    <tableColumn id="4" xr3:uid="{00000000-0010-0000-0500-000004000000}" name="Descrição" dataDxfId="89"/>
    <tableColumn id="5" xr3:uid="{00000000-0010-0000-0500-000005000000}" name="Débito" dataDxfId="88"/>
    <tableColumn id="6" xr3:uid="{00000000-0010-0000-0500-000006000000}" name="Crédito" dataDxfId="87"/>
    <tableColumn id="7" xr3:uid="{00000000-0010-0000-0500-000007000000}" name="Categoria #2" dataDxfId="8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6000000}" name="Tabela313" displayName="Tabela313" ref="I1:J19" totalsRowCount="1" headerRowDxfId="85">
  <autoFilter ref="I1:J18" xr:uid="{00000000-0009-0000-0100-00000C000000}"/>
  <tableColumns count="2">
    <tableColumn id="1" xr3:uid="{00000000-0010-0000-0600-000001000000}" name="Categoria" totalsRowLabel="Total"/>
    <tableColumn id="2" xr3:uid="{00000000-0010-0000-0600-000002000000}" name="Total" totalsRowFunction="sum">
      <calculatedColumnFormula>SUMIF(tblJaneiro12[Categoria],Tabela313[[#This Row],[Categoria]],tblJaneiro12[Valor])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7000000}" name="tblJaneiro1214" displayName="tblJaneiro1214" ref="A1:G52" totalsRowShown="0" headerRowDxfId="84">
  <autoFilter ref="A1:G52" xr:uid="{00000000-0009-0000-0100-00000D000000}"/>
  <sortState xmlns:xlrd2="http://schemas.microsoft.com/office/spreadsheetml/2017/richdata2" ref="A2:G36">
    <sortCondition ref="C1:C36"/>
  </sortState>
  <tableColumns count="7">
    <tableColumn id="1" xr3:uid="{00000000-0010-0000-0700-000001000000}" name="Categoria"/>
    <tableColumn id="2" xr3:uid="{00000000-0010-0000-0700-000002000000}" name="Valor" dataDxfId="83"/>
    <tableColumn id="3" xr3:uid="{00000000-0010-0000-0700-000003000000}" name="Data" dataDxfId="82"/>
    <tableColumn id="4" xr3:uid="{00000000-0010-0000-0700-000004000000}" name="Descrição" dataDxfId="81"/>
    <tableColumn id="5" xr3:uid="{00000000-0010-0000-0700-000005000000}" name="Débito" dataDxfId="80"/>
    <tableColumn id="6" xr3:uid="{00000000-0010-0000-0700-000006000000}" name="Crédito" dataDxfId="79"/>
    <tableColumn id="7" xr3:uid="{00000000-0010-0000-0700-000007000000}" name="Categoria #2" dataDxfId="78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Tabela31315" displayName="Tabela31315" ref="I1:J19" totalsRowCount="1" headerRowDxfId="77">
  <autoFilter ref="I1:J18" xr:uid="{00000000-0009-0000-0100-00000E000000}"/>
  <tableColumns count="2">
    <tableColumn id="1" xr3:uid="{00000000-0010-0000-0800-000001000000}" name="Categoria" totalsRowLabel="Total"/>
    <tableColumn id="2" xr3:uid="{00000000-0010-0000-0800-000002000000}" name="Total" totalsRowFunction="sum">
      <calculatedColumnFormula>SUMIF(tblJaneiro1214[Categoria],Tabela31315[[#This Row],[Categoria]],tblJaneiro1214[Valor])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tblJaneiro121416" displayName="tblJaneiro121416" ref="A1:G63" totalsRowShown="0" headerRowDxfId="76">
  <autoFilter ref="A1:G63" xr:uid="{00000000-0009-0000-0100-00000F000000}"/>
  <sortState xmlns:xlrd2="http://schemas.microsoft.com/office/spreadsheetml/2017/richdata2" ref="A2:G36">
    <sortCondition ref="C1:C36"/>
  </sortState>
  <tableColumns count="7">
    <tableColumn id="1" xr3:uid="{00000000-0010-0000-0900-000001000000}" name="Categoria"/>
    <tableColumn id="2" xr3:uid="{00000000-0010-0000-0900-000002000000}" name="Valor" dataDxfId="75"/>
    <tableColumn id="3" xr3:uid="{00000000-0010-0000-0900-000003000000}" name="Data" dataDxfId="74"/>
    <tableColumn id="4" xr3:uid="{00000000-0010-0000-0900-000004000000}" name="Descrição" dataDxfId="73"/>
    <tableColumn id="5" xr3:uid="{00000000-0010-0000-0900-000005000000}" name="Débito" dataDxfId="72"/>
    <tableColumn id="6" xr3:uid="{00000000-0010-0000-0900-000006000000}" name="Crédito" dataDxfId="71"/>
    <tableColumn id="7" xr3:uid="{00000000-0010-0000-0900-000007000000}" name="Categoria #2" dataDxfId="70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A000000}" name="Tabela3131517" displayName="Tabela3131517" ref="I1:J19" totalsRowCount="1" headerRowDxfId="69">
  <autoFilter ref="I1:J18" xr:uid="{00000000-0009-0000-0100-000010000000}"/>
  <tableColumns count="2">
    <tableColumn id="1" xr3:uid="{00000000-0010-0000-0A00-000001000000}" name="Categoria" totalsRowLabel="Total"/>
    <tableColumn id="2" xr3:uid="{00000000-0010-0000-0A00-000002000000}" name="Total" totalsRowFunction="sum">
      <calculatedColumnFormula>SUMIF(tblJaneiro121416[Categoria],Tabela3131517[[#This Row],[Categoria]],tblJaneiro121416[Valor])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B000000}" name="tblJaneiro12141618" displayName="tblJaneiro12141618" ref="A1:G80" totalsRowShown="0" headerRowDxfId="68">
  <autoFilter ref="A1:G80" xr:uid="{00000000-0009-0000-0100-000011000000}"/>
  <sortState xmlns:xlrd2="http://schemas.microsoft.com/office/spreadsheetml/2017/richdata2" ref="A2:G36">
    <sortCondition ref="C1:C36"/>
  </sortState>
  <tableColumns count="7">
    <tableColumn id="1" xr3:uid="{00000000-0010-0000-0B00-000001000000}" name="Categoria"/>
    <tableColumn id="2" xr3:uid="{00000000-0010-0000-0B00-000002000000}" name="Valor" dataDxfId="67"/>
    <tableColumn id="3" xr3:uid="{00000000-0010-0000-0B00-000003000000}" name="Data" dataDxfId="66"/>
    <tableColumn id="4" xr3:uid="{00000000-0010-0000-0B00-000004000000}" name="Descrição" dataDxfId="65"/>
    <tableColumn id="5" xr3:uid="{00000000-0010-0000-0B00-000005000000}" name="Débito" dataDxfId="64"/>
    <tableColumn id="6" xr3:uid="{00000000-0010-0000-0B00-000006000000}" name="Crédito" dataDxfId="63"/>
    <tableColumn id="7" xr3:uid="{00000000-0010-0000-0B00-000007000000}" name="Categoria #2" dataDxfId="62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C000000}" name="Tabela313151719" displayName="Tabela313151719" ref="I1:J19" totalsRowCount="1" headerRowDxfId="61">
  <autoFilter ref="I1:J18" xr:uid="{00000000-0009-0000-0100-000012000000}"/>
  <tableColumns count="2">
    <tableColumn id="1" xr3:uid="{00000000-0010-0000-0C00-000001000000}" name="Categoria" totalsRowLabel="Total"/>
    <tableColumn id="2" xr3:uid="{00000000-0010-0000-0C00-000002000000}" name="Total" totalsRowFunction="sum">
      <calculatedColumnFormula>SUMIF(tblJaneiro12141618[Categoria],Tabela313151719[[#This Row],[Categoria]],tblJaneiro12141618[Valor])</calculatedColumnFormula>
    </tableColumn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tblJaneiro1214161820" displayName="tblJaneiro1214161820" ref="A1:G85" totalsRowShown="0" headerRowDxfId="60">
  <autoFilter ref="A1:G85" xr:uid="{00000000-0009-0000-0100-000013000000}"/>
  <sortState xmlns:xlrd2="http://schemas.microsoft.com/office/spreadsheetml/2017/richdata2" ref="A2:G36">
    <sortCondition ref="C1:C36"/>
  </sortState>
  <tableColumns count="7">
    <tableColumn id="1" xr3:uid="{00000000-0010-0000-0D00-000001000000}" name="Categoria"/>
    <tableColumn id="2" xr3:uid="{00000000-0010-0000-0D00-000002000000}" name="Valor" dataDxfId="59"/>
    <tableColumn id="3" xr3:uid="{00000000-0010-0000-0D00-000003000000}" name="Data" dataDxfId="58"/>
    <tableColumn id="4" xr3:uid="{00000000-0010-0000-0D00-000004000000}" name="Descrição" dataDxfId="57"/>
    <tableColumn id="5" xr3:uid="{00000000-0010-0000-0D00-000005000000}" name="Débito" dataDxfId="56"/>
    <tableColumn id="6" xr3:uid="{00000000-0010-0000-0D00-000006000000}" name="Crédito" dataDxfId="55"/>
    <tableColumn id="7" xr3:uid="{00000000-0010-0000-0D00-000007000000}" name="Categoria #2" dataDxfId="54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E000000}" name="Tabela31315171921" displayName="Tabela31315171921" ref="I1:J19" totalsRowCount="1" headerRowDxfId="53">
  <autoFilter ref="I1:J18" xr:uid="{00000000-0009-0000-0100-000014000000}"/>
  <tableColumns count="2">
    <tableColumn id="1" xr3:uid="{00000000-0010-0000-0E00-000001000000}" name="Categoria" totalsRowLabel="Total"/>
    <tableColumn id="2" xr3:uid="{00000000-0010-0000-0E00-000002000000}" name="Total" totalsRowFunction="sum">
      <calculatedColumnFormula>SUMIF(tblJaneiro1214161820[Categoria],Tabela31315171921[[#This Row],[Categoria]],tblJaneiro1214161820[Valor])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tblJaneiro121416182022" displayName="tblJaneiro121416182022" ref="A1:G69" totalsRowShown="0" headerRowDxfId="52">
  <autoFilter ref="A1:G69" xr:uid="{00000000-0009-0000-0100-000015000000}"/>
  <sortState xmlns:xlrd2="http://schemas.microsoft.com/office/spreadsheetml/2017/richdata2" ref="A2:G36">
    <sortCondition ref="C1:C36"/>
  </sortState>
  <tableColumns count="7">
    <tableColumn id="1" xr3:uid="{00000000-0010-0000-0F00-000001000000}" name="Categoria"/>
    <tableColumn id="2" xr3:uid="{00000000-0010-0000-0F00-000002000000}" name="Valor" dataDxfId="51"/>
    <tableColumn id="3" xr3:uid="{00000000-0010-0000-0F00-000003000000}" name="Data" dataDxfId="50"/>
    <tableColumn id="4" xr3:uid="{00000000-0010-0000-0F00-000004000000}" name="Descrição" dataDxfId="49"/>
    <tableColumn id="5" xr3:uid="{00000000-0010-0000-0F00-000005000000}" name="Débito" dataDxfId="48"/>
    <tableColumn id="6" xr3:uid="{00000000-0010-0000-0F00-000006000000}" name="Crédito" dataDxfId="47"/>
    <tableColumn id="7" xr3:uid="{00000000-0010-0000-0F00-000007000000}" name="Categoria #2" dataDxfId="46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0000000}" name="Tabela3131517192123" displayName="Tabela3131517192123" ref="I1:J19" totalsRowCount="1" headerRowDxfId="45">
  <autoFilter ref="I1:J18" xr:uid="{00000000-0009-0000-0100-000016000000}"/>
  <tableColumns count="2">
    <tableColumn id="1" xr3:uid="{00000000-0010-0000-1000-000001000000}" name="Categoria" totalsRowLabel="Total"/>
    <tableColumn id="2" xr3:uid="{00000000-0010-0000-1000-000002000000}" name="Total" totalsRowFunction="sum">
      <calculatedColumnFormula>SUMIF(tblJaneiro121416182022[Categoria],Tabela3131517192123[[#This Row],[Categoria]],tblJaneiro121416182022[Valor])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1000000}" name="tblJaneiro1214161820226" displayName="tblJaneiro1214161820226" ref="A1:G73" totalsRowShown="0" headerRowDxfId="44">
  <autoFilter ref="A1:G73" xr:uid="{00000000-0009-0000-0100-000005000000}"/>
  <sortState xmlns:xlrd2="http://schemas.microsoft.com/office/spreadsheetml/2017/richdata2" ref="A2:G36">
    <sortCondition ref="C1:C36"/>
  </sortState>
  <tableColumns count="7">
    <tableColumn id="1" xr3:uid="{00000000-0010-0000-1100-000001000000}" name="Categoria"/>
    <tableColumn id="2" xr3:uid="{00000000-0010-0000-1100-000002000000}" name="Valor" dataDxfId="43"/>
    <tableColumn id="3" xr3:uid="{00000000-0010-0000-1100-000003000000}" name="Data" dataDxfId="42"/>
    <tableColumn id="4" xr3:uid="{00000000-0010-0000-1100-000004000000}" name="Descrição" dataDxfId="41"/>
    <tableColumn id="5" xr3:uid="{00000000-0010-0000-1100-000005000000}" name="Débito" dataDxfId="40"/>
    <tableColumn id="6" xr3:uid="{00000000-0010-0000-1100-000006000000}" name="Crédito" dataDxfId="39"/>
    <tableColumn id="7" xr3:uid="{00000000-0010-0000-1100-000007000000}" name="Categoria #2" dataDxfId="38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2000000}" name="Tabela31315171921238" displayName="Tabela31315171921238" ref="I1:J19" totalsRowCount="1" headerRowDxfId="37">
  <autoFilter ref="I1:J18" xr:uid="{00000000-0009-0000-0100-000007000000}"/>
  <tableColumns count="2">
    <tableColumn id="1" xr3:uid="{00000000-0010-0000-1200-000001000000}" name="Categoria" totalsRowLabel="Total"/>
    <tableColumn id="2" xr3:uid="{00000000-0010-0000-1200-000002000000}" name="Total" totalsRowFunction="sum" totalsRowDxfId="36">
      <calculatedColumnFormula>SUMIF(tblJaneiro1214161820226[Categoria],Tabela31315171921238[[#This Row],[Categoria]],tblJaneiro1214161820226[Valor])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13000000}" name="tbl_setembro" displayName="tbl_setembro" ref="A1:G72" totalsRowShown="0" headerRowDxfId="35">
  <autoFilter ref="A1:G72" xr:uid="{00000000-0009-0000-0100-000008000000}"/>
  <sortState xmlns:xlrd2="http://schemas.microsoft.com/office/spreadsheetml/2017/richdata2" ref="A2:G36">
    <sortCondition ref="C1:C36"/>
  </sortState>
  <tableColumns count="7">
    <tableColumn id="1" xr3:uid="{00000000-0010-0000-1300-000001000000}" name="Categoria"/>
    <tableColumn id="2" xr3:uid="{00000000-0010-0000-1300-000002000000}" name="Valor" dataDxfId="34"/>
    <tableColumn id="3" xr3:uid="{00000000-0010-0000-1300-000003000000}" name="Data" dataDxfId="33"/>
    <tableColumn id="4" xr3:uid="{00000000-0010-0000-1300-000004000000}" name="Descrição" dataDxfId="32"/>
    <tableColumn id="5" xr3:uid="{00000000-0010-0000-1300-000005000000}" name="Débito" dataDxfId="31"/>
    <tableColumn id="6" xr3:uid="{00000000-0010-0000-1300-000006000000}" name="Crédito" dataDxfId="30"/>
    <tableColumn id="7" xr3:uid="{00000000-0010-0000-1300-000007000000}" name="Categoria #2" dataDxfId="29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4000000}" name="Tabela3131517192123824" displayName="Tabela3131517192123824" ref="I1:J19" totalsRowCount="1" headerRowDxfId="28">
  <autoFilter ref="I1:J18" xr:uid="{00000000-0009-0000-0100-000017000000}"/>
  <tableColumns count="2">
    <tableColumn id="1" xr3:uid="{00000000-0010-0000-1400-000001000000}" name="Categoria" totalsRowLabel="Total"/>
    <tableColumn id="2" xr3:uid="{00000000-0010-0000-1400-000002000000}" name="Total" totalsRowFunction="sum" totalsRowDxfId="27">
      <calculatedColumnFormula>SUMIF(tbl_setembro[Categoria],Tabela3131517192123824[[#This Row],[Categoria]],tbl_setembro[Valor])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5000000}" name="tblJaneiro1214161820226925" displayName="tblJaneiro1214161820226925" ref="A1:G72" totalsRowShown="0" headerRowDxfId="26">
  <autoFilter ref="A1:G72" xr:uid="{00000000-0009-0000-0100-000018000000}"/>
  <sortState xmlns:xlrd2="http://schemas.microsoft.com/office/spreadsheetml/2017/richdata2" ref="A2:G36">
    <sortCondition ref="C1:C36"/>
  </sortState>
  <tableColumns count="7">
    <tableColumn id="1" xr3:uid="{00000000-0010-0000-1500-000001000000}" name="Categoria"/>
    <tableColumn id="2" xr3:uid="{00000000-0010-0000-1500-000002000000}" name="Valor" dataDxfId="25"/>
    <tableColumn id="3" xr3:uid="{00000000-0010-0000-1500-000003000000}" name="Data" dataDxfId="24"/>
    <tableColumn id="4" xr3:uid="{00000000-0010-0000-1500-000004000000}" name="Descrição" dataDxfId="23"/>
    <tableColumn id="5" xr3:uid="{00000000-0010-0000-1500-000005000000}" name="Débito" dataDxfId="22"/>
    <tableColumn id="6" xr3:uid="{00000000-0010-0000-1500-000006000000}" name="Crédito" dataDxfId="21"/>
    <tableColumn id="7" xr3:uid="{00000000-0010-0000-1500-000007000000}" name="Categoria #2" dataDxfId="20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6000000}" name="Tabela313151719212382426" displayName="Tabela313151719212382426" ref="I1:J19" totalsRowCount="1" headerRowDxfId="19">
  <autoFilter ref="I1:J18" xr:uid="{00000000-0009-0000-0100-000019000000}"/>
  <tableColumns count="2">
    <tableColumn id="1" xr3:uid="{00000000-0010-0000-1600-000001000000}" name="Categoria" totalsRowLabel="Total"/>
    <tableColumn id="2" xr3:uid="{00000000-0010-0000-1600-000002000000}" name="Total" totalsRowFunction="sum" totalsRowDxfId="18">
      <calculatedColumnFormula>SUMIF(tblJaneiro1214161820226925[Categoria],Tabela313151719212382426[[#This Row],[Categoria]],tblJaneiro1214161820226925[Valor])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7000000}" name="tblJaneiro121416182022692527" displayName="tblJaneiro121416182022692527" ref="A1:G72" totalsRowShown="0" headerRowDxfId="17">
  <autoFilter ref="A1:G72" xr:uid="{00000000-0009-0000-0100-00001A000000}"/>
  <sortState xmlns:xlrd2="http://schemas.microsoft.com/office/spreadsheetml/2017/richdata2" ref="A2:G72">
    <sortCondition ref="C1:C72"/>
  </sortState>
  <tableColumns count="7">
    <tableColumn id="1" xr3:uid="{00000000-0010-0000-1700-000001000000}" name="Categoria"/>
    <tableColumn id="2" xr3:uid="{00000000-0010-0000-1700-000002000000}" name="Valor" dataDxfId="16"/>
    <tableColumn id="3" xr3:uid="{00000000-0010-0000-1700-000003000000}" name="Data" dataDxfId="15"/>
    <tableColumn id="4" xr3:uid="{00000000-0010-0000-1700-000004000000}" name="Descrição" dataDxfId="14"/>
    <tableColumn id="5" xr3:uid="{00000000-0010-0000-1700-000005000000}" name="Débito" dataDxfId="13"/>
    <tableColumn id="6" xr3:uid="{00000000-0010-0000-1700-000006000000}" name="Crédito" dataDxfId="12"/>
    <tableColumn id="7" xr3:uid="{00000000-0010-0000-1700-000007000000}" name="Categoria #2" dataDxfId="11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8000000}" name="Tabela31315171921238242628" displayName="Tabela31315171921238242628" ref="I1:J19" totalsRowCount="1" headerRowDxfId="10">
  <autoFilter ref="I1:J18" xr:uid="{00000000-0009-0000-0100-00001B000000}"/>
  <tableColumns count="2">
    <tableColumn id="1" xr3:uid="{00000000-0010-0000-1800-000001000000}" name="Categoria" totalsRowLabel="Total"/>
    <tableColumn id="2" xr3:uid="{00000000-0010-0000-1800-000002000000}" name="Total" totalsRowFunction="sum" totalsRowDxfId="9">
      <calculatedColumnFormula>SUMIF(tblJaneiro121416182022692527[Categoria],Tabela31315171921238242628[[#This Row],[Categoria]],tblJaneiro121416182022692527[Valor])</calculatedColumnFormula>
    </tableColumn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9000000}" name="tblJaneiro12141618202269252729" displayName="tblJaneiro12141618202269252729" ref="A1:G72" totalsRowShown="0" headerRowDxfId="8">
  <autoFilter ref="A1:G72" xr:uid="{00000000-0009-0000-0100-00001C000000}"/>
  <sortState xmlns:xlrd2="http://schemas.microsoft.com/office/spreadsheetml/2017/richdata2" ref="A2:G72">
    <sortCondition ref="C1:C72"/>
  </sortState>
  <tableColumns count="7">
    <tableColumn id="1" xr3:uid="{00000000-0010-0000-1900-000001000000}" name="Categoria"/>
    <tableColumn id="2" xr3:uid="{00000000-0010-0000-1900-000002000000}" name="Valor" dataDxfId="7"/>
    <tableColumn id="3" xr3:uid="{00000000-0010-0000-1900-000003000000}" name="Data" dataDxfId="6"/>
    <tableColumn id="4" xr3:uid="{00000000-0010-0000-1900-000004000000}" name="Descrição" dataDxfId="5"/>
    <tableColumn id="5" xr3:uid="{00000000-0010-0000-1900-000005000000}" name="Débito" dataDxfId="4"/>
    <tableColumn id="6" xr3:uid="{00000000-0010-0000-1900-000006000000}" name="Crédito" dataDxfId="3"/>
    <tableColumn id="7" xr3:uid="{00000000-0010-0000-1900-000007000000}" name="Categoria #2" dataDxfId="2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A000000}" name="Tabela3131517192123824262830" displayName="Tabela3131517192123824262830" ref="I1:J19" totalsRowCount="1" headerRowDxfId="1">
  <autoFilter ref="I1:J18" xr:uid="{00000000-0009-0000-0100-00001D000000}"/>
  <tableColumns count="2">
    <tableColumn id="1" xr3:uid="{00000000-0010-0000-1A00-000001000000}" name="Categoria" totalsRowLabel="Total"/>
    <tableColumn id="2" xr3:uid="{00000000-0010-0000-1A00-000002000000}" name="Total" totalsRowFunction="sum" totalsRowDxfId="0">
      <calculatedColumnFormula>SUMIF(tblJaneiro12141618202269252729[Categoria],Tabela3131517192123824262830[[#This Row],[Categoria]],tblJaneiro12141618202269252729[Valor])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P46"/>
  <sheetViews>
    <sheetView showGridLines="0" tabSelected="1" zoomScale="80" zoomScaleNormal="80" workbookViewId="0">
      <selection activeCell="K8" sqref="K8"/>
    </sheetView>
  </sheetViews>
  <sheetFormatPr defaultRowHeight="15" x14ac:dyDescent="0.25"/>
  <cols>
    <col min="1" max="1" width="2" customWidth="1"/>
    <col min="2" max="2" width="13.85546875" customWidth="1"/>
    <col min="3" max="3" width="10.28515625" style="1" customWidth="1"/>
    <col min="4" max="4" width="8.7109375" style="1" bestFit="1" customWidth="1"/>
    <col min="5" max="13" width="10.28515625" style="1" bestFit="1" customWidth="1"/>
    <col min="14" max="14" width="11" style="1" bestFit="1" customWidth="1"/>
    <col min="15" max="15" width="11.42578125" style="1" bestFit="1" customWidth="1"/>
    <col min="16" max="16" width="14.28515625" customWidth="1"/>
    <col min="17" max="17" width="1.42578125" customWidth="1"/>
    <col min="25" max="25" width="7" customWidth="1"/>
  </cols>
  <sheetData>
    <row r="1" spans="2:16" ht="26.25" x14ac:dyDescent="0.4">
      <c r="B1" s="14" t="s">
        <v>15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2:16" x14ac:dyDescent="0.25">
      <c r="B2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18</v>
      </c>
      <c r="P2" s="3" t="s">
        <v>20</v>
      </c>
    </row>
    <row r="3" spans="2:16" x14ac:dyDescent="0.25">
      <c r="B3" t="s">
        <v>45</v>
      </c>
      <c r="C3" s="3">
        <f>Jan!J2</f>
        <v>0</v>
      </c>
      <c r="D3" s="3">
        <f>Fev!J2</f>
        <v>0</v>
      </c>
      <c r="E3" s="3">
        <f>Mar!J2</f>
        <v>0</v>
      </c>
      <c r="F3" s="3">
        <f>Abr!J2</f>
        <v>0</v>
      </c>
      <c r="G3" s="3">
        <f>Mai!J2</f>
        <v>0</v>
      </c>
      <c r="H3" s="3">
        <f>Jun!J2</f>
        <v>0</v>
      </c>
      <c r="I3" s="3">
        <f>Jul!J2</f>
        <v>0</v>
      </c>
      <c r="J3" s="3">
        <f>Ago!J2</f>
        <v>0</v>
      </c>
      <c r="K3" s="3">
        <f>Set!J2</f>
        <v>0</v>
      </c>
      <c r="L3" s="3">
        <f>Out!J2</f>
        <v>0</v>
      </c>
      <c r="M3" s="3">
        <f>Nov!J2</f>
        <v>0</v>
      </c>
      <c r="N3" s="3">
        <f>Dez!J2</f>
        <v>0</v>
      </c>
      <c r="O3" s="3">
        <f>SUM(tblDespesas[[#This Row],[Jan]:[Dez]])</f>
        <v>0</v>
      </c>
      <c r="P3" s="4"/>
    </row>
    <row r="4" spans="2:16" x14ac:dyDescent="0.25">
      <c r="B4" t="s">
        <v>2</v>
      </c>
      <c r="C4" s="3">
        <f>Jan!J3</f>
        <v>0</v>
      </c>
      <c r="D4" s="3">
        <f>Fev!J3</f>
        <v>0</v>
      </c>
      <c r="E4" s="3">
        <f>Mar!J3</f>
        <v>0</v>
      </c>
      <c r="F4" s="3">
        <f>Abr!J3</f>
        <v>0</v>
      </c>
      <c r="G4" s="3">
        <f>Mai!J3</f>
        <v>0</v>
      </c>
      <c r="H4" s="3">
        <f>Jun!J3</f>
        <v>0</v>
      </c>
      <c r="I4" s="3">
        <f>Jul!J3</f>
        <v>0</v>
      </c>
      <c r="J4" s="3">
        <f>Ago!J3</f>
        <v>0</v>
      </c>
      <c r="K4" s="3">
        <f>Set!J3</f>
        <v>0</v>
      </c>
      <c r="L4" s="3">
        <f>Out!J3</f>
        <v>0</v>
      </c>
      <c r="M4" s="3">
        <f>Nov!J3</f>
        <v>0</v>
      </c>
      <c r="N4" s="3">
        <f>Dez!J3</f>
        <v>0</v>
      </c>
      <c r="O4" s="3">
        <f>SUM(tblDespesas[[#This Row],[Jan]:[Dez]])</f>
        <v>0</v>
      </c>
      <c r="P4" s="4"/>
    </row>
    <row r="5" spans="2:16" x14ac:dyDescent="0.25">
      <c r="B5" t="s">
        <v>25</v>
      </c>
      <c r="C5" s="3">
        <f>Jan!J4</f>
        <v>0</v>
      </c>
      <c r="D5" s="3">
        <f>Fev!J4</f>
        <v>0</v>
      </c>
      <c r="E5" s="3">
        <f>Mar!J4</f>
        <v>0</v>
      </c>
      <c r="F5" s="3">
        <f>Abr!J4</f>
        <v>0</v>
      </c>
      <c r="G5" s="3">
        <f>Mai!J4</f>
        <v>0</v>
      </c>
      <c r="H5" s="3">
        <f>Jun!J4</f>
        <v>0</v>
      </c>
      <c r="I5" s="3">
        <f>Jul!J4</f>
        <v>0</v>
      </c>
      <c r="J5" s="3">
        <f>Ago!J4</f>
        <v>0</v>
      </c>
      <c r="K5" s="3">
        <f>Set!J4</f>
        <v>0</v>
      </c>
      <c r="L5" s="3">
        <f>Out!J4</f>
        <v>0</v>
      </c>
      <c r="M5" s="3">
        <f>Nov!J4</f>
        <v>0</v>
      </c>
      <c r="N5" s="3">
        <f>Dez!J4</f>
        <v>0</v>
      </c>
      <c r="O5" s="3">
        <f>SUM(tblDespesas[[#This Row],[Jan]:[Dez]])</f>
        <v>0</v>
      </c>
      <c r="P5" s="4"/>
    </row>
    <row r="6" spans="2:16" x14ac:dyDescent="0.25">
      <c r="B6" t="s">
        <v>44</v>
      </c>
      <c r="C6" s="3">
        <f>Jan!J5</f>
        <v>0</v>
      </c>
      <c r="D6" s="3">
        <f>Fev!J5</f>
        <v>0</v>
      </c>
      <c r="E6" s="3">
        <f>Mar!J5</f>
        <v>0</v>
      </c>
      <c r="F6" s="3">
        <f>Abr!J5</f>
        <v>0</v>
      </c>
      <c r="G6" s="3">
        <f>Mai!J5</f>
        <v>0</v>
      </c>
      <c r="H6" s="3">
        <f>Jun!J5</f>
        <v>0</v>
      </c>
      <c r="I6" s="3">
        <f>Jul!J5</f>
        <v>0</v>
      </c>
      <c r="J6" s="3">
        <f>Ago!J5</f>
        <v>0</v>
      </c>
      <c r="K6" s="3">
        <f>Set!J5</f>
        <v>0</v>
      </c>
      <c r="L6" s="3">
        <f>Out!J5</f>
        <v>0</v>
      </c>
      <c r="M6" s="3">
        <f>Nov!J5</f>
        <v>0</v>
      </c>
      <c r="N6" s="3">
        <f>Dez!J5</f>
        <v>0</v>
      </c>
      <c r="O6" s="3">
        <f>SUM(tblDespesas[[#This Row],[Jan]:[Dez]])</f>
        <v>0</v>
      </c>
      <c r="P6" s="4"/>
    </row>
    <row r="7" spans="2:16" x14ac:dyDescent="0.25">
      <c r="B7" t="s">
        <v>43</v>
      </c>
      <c r="C7" s="3">
        <f>Jan!J6</f>
        <v>0</v>
      </c>
      <c r="D7" s="3">
        <f>Fev!J6</f>
        <v>0</v>
      </c>
      <c r="E7" s="3">
        <f>Mar!J6</f>
        <v>0</v>
      </c>
      <c r="F7" s="3">
        <f>Abr!J6</f>
        <v>0</v>
      </c>
      <c r="G7" s="3">
        <f>Mai!J6</f>
        <v>0</v>
      </c>
      <c r="H7" s="3">
        <f>Jun!J6</f>
        <v>0</v>
      </c>
      <c r="I7" s="3">
        <f>Jul!J6</f>
        <v>0</v>
      </c>
      <c r="J7" s="3">
        <f>Ago!J6</f>
        <v>0</v>
      </c>
      <c r="K7" s="3">
        <f>Set!J6</f>
        <v>0</v>
      </c>
      <c r="L7" s="3">
        <f>Out!J6</f>
        <v>0</v>
      </c>
      <c r="M7" s="3">
        <f>Nov!J6</f>
        <v>0</v>
      </c>
      <c r="N7" s="3">
        <f>Dez!J6</f>
        <v>0</v>
      </c>
      <c r="O7" s="3">
        <f>SUM(tblDespesas[[#This Row],[Jan]:[Dez]])</f>
        <v>0</v>
      </c>
      <c r="P7" s="4"/>
    </row>
    <row r="8" spans="2:16" x14ac:dyDescent="0.25">
      <c r="B8" t="s">
        <v>28</v>
      </c>
      <c r="C8" s="3">
        <f>Jan!J7</f>
        <v>0</v>
      </c>
      <c r="D8" s="3">
        <f>Fev!J7</f>
        <v>0</v>
      </c>
      <c r="E8" s="3">
        <f>Mar!J7</f>
        <v>0</v>
      </c>
      <c r="F8" s="3">
        <f>Abr!J7</f>
        <v>0</v>
      </c>
      <c r="G8" s="3">
        <f>Mai!J7</f>
        <v>0</v>
      </c>
      <c r="H8" s="3">
        <f>Jun!J7</f>
        <v>0</v>
      </c>
      <c r="I8" s="3">
        <f>Jul!J7</f>
        <v>0</v>
      </c>
      <c r="J8" s="3">
        <f>Ago!J7</f>
        <v>0</v>
      </c>
      <c r="K8" s="3">
        <f>Set!J7</f>
        <v>3.2</v>
      </c>
      <c r="L8" s="3">
        <f>Out!J7</f>
        <v>0</v>
      </c>
      <c r="M8" s="3">
        <f>Nov!J7</f>
        <v>0</v>
      </c>
      <c r="N8" s="3">
        <f>Dez!J7</f>
        <v>0</v>
      </c>
      <c r="O8" s="3">
        <f>SUM(tblDespesas[[#This Row],[Jan]:[Dez]])</f>
        <v>3.2</v>
      </c>
      <c r="P8" s="4"/>
    </row>
    <row r="9" spans="2:16" x14ac:dyDescent="0.25">
      <c r="B9" t="s">
        <v>29</v>
      </c>
      <c r="C9" s="3">
        <f>Jan!J8</f>
        <v>0</v>
      </c>
      <c r="D9" s="3">
        <f>Fev!J8</f>
        <v>0</v>
      </c>
      <c r="E9" s="3">
        <f>Mar!J8</f>
        <v>0</v>
      </c>
      <c r="F9" s="3">
        <f>Abr!J8</f>
        <v>0</v>
      </c>
      <c r="G9" s="3">
        <f>Mai!J8</f>
        <v>0</v>
      </c>
      <c r="H9" s="3">
        <f>Jun!J8</f>
        <v>0</v>
      </c>
      <c r="I9" s="3">
        <f>Jul!J8</f>
        <v>0</v>
      </c>
      <c r="J9" s="3">
        <f>Ago!J8</f>
        <v>0</v>
      </c>
      <c r="K9" s="3">
        <f>Set!J8</f>
        <v>0</v>
      </c>
      <c r="L9" s="3">
        <f>Out!J8</f>
        <v>0</v>
      </c>
      <c r="M9" s="3">
        <f>Nov!J8</f>
        <v>0</v>
      </c>
      <c r="N9" s="3">
        <f>Dez!J8</f>
        <v>0</v>
      </c>
      <c r="O9" s="3">
        <f>SUM(tblDespesas[[#This Row],[Jan]:[Dez]])</f>
        <v>0</v>
      </c>
      <c r="P9" s="4"/>
    </row>
    <row r="10" spans="2:16" x14ac:dyDescent="0.25">
      <c r="B10" t="s">
        <v>30</v>
      </c>
      <c r="C10" s="3">
        <f>Jan!J9</f>
        <v>0</v>
      </c>
      <c r="D10" s="3">
        <f>Fev!J9</f>
        <v>0</v>
      </c>
      <c r="E10" s="3">
        <f>Mar!J9</f>
        <v>0</v>
      </c>
      <c r="F10" s="3">
        <f>Abr!J9</f>
        <v>0</v>
      </c>
      <c r="G10" s="3">
        <f>Mai!J9</f>
        <v>0</v>
      </c>
      <c r="H10" s="3">
        <f>Jun!J9</f>
        <v>0</v>
      </c>
      <c r="I10" s="3">
        <f>Jul!J9</f>
        <v>0</v>
      </c>
      <c r="J10" s="3">
        <f>Ago!J9</f>
        <v>0</v>
      </c>
      <c r="K10" s="3">
        <f>Set!J9</f>
        <v>0</v>
      </c>
      <c r="L10" s="3">
        <f>Out!J9</f>
        <v>0</v>
      </c>
      <c r="M10" s="3">
        <f>Nov!J9</f>
        <v>0</v>
      </c>
      <c r="N10" s="3">
        <f>Dez!J9</f>
        <v>0</v>
      </c>
      <c r="O10" s="3">
        <f>SUM(tblDespesas[[#This Row],[Jan]:[Dez]])</f>
        <v>0</v>
      </c>
      <c r="P10" s="4"/>
    </row>
    <row r="11" spans="2:16" x14ac:dyDescent="0.25">
      <c r="B11" t="s">
        <v>19</v>
      </c>
      <c r="C11" s="3">
        <f>Jan!J10</f>
        <v>0</v>
      </c>
      <c r="D11" s="3">
        <f>Fev!J10</f>
        <v>0</v>
      </c>
      <c r="E11" s="3">
        <f>Mar!J10</f>
        <v>0</v>
      </c>
      <c r="F11" s="3">
        <f>Abr!J10</f>
        <v>0</v>
      </c>
      <c r="G11" s="3">
        <f>Mai!J10</f>
        <v>0</v>
      </c>
      <c r="H11" s="3">
        <f>Jun!J10</f>
        <v>0</v>
      </c>
      <c r="I11" s="3">
        <f>Jul!J10</f>
        <v>0</v>
      </c>
      <c r="J11" s="3">
        <f>Ago!J10</f>
        <v>0</v>
      </c>
      <c r="K11" s="3">
        <f>Set!J10</f>
        <v>120</v>
      </c>
      <c r="L11" s="3">
        <f>Out!J10</f>
        <v>0</v>
      </c>
      <c r="M11" s="3">
        <f>Nov!J10</f>
        <v>0</v>
      </c>
      <c r="N11" s="3">
        <f>Dez!J10</f>
        <v>0</v>
      </c>
      <c r="O11" s="3">
        <f>SUM(tblDespesas[[#This Row],[Jan]:[Dez]])</f>
        <v>120</v>
      </c>
      <c r="P11" s="4"/>
    </row>
    <row r="12" spans="2:16" x14ac:dyDescent="0.25">
      <c r="B12" t="s">
        <v>32</v>
      </c>
      <c r="C12" s="3">
        <f>Jan!J11</f>
        <v>0</v>
      </c>
      <c r="D12" s="3">
        <f>Fev!J11</f>
        <v>0</v>
      </c>
      <c r="E12" s="3">
        <f>Mar!J11</f>
        <v>0</v>
      </c>
      <c r="F12" s="3">
        <f>Abr!J11</f>
        <v>0</v>
      </c>
      <c r="G12" s="3">
        <f>Mai!J11</f>
        <v>0</v>
      </c>
      <c r="H12" s="3">
        <f>Jun!J11</f>
        <v>0</v>
      </c>
      <c r="I12" s="3">
        <f>Jul!J11</f>
        <v>0</v>
      </c>
      <c r="J12" s="3">
        <f>Ago!J11</f>
        <v>0</v>
      </c>
      <c r="K12" s="3">
        <f>Set!J11</f>
        <v>27.009999999999998</v>
      </c>
      <c r="L12" s="3">
        <f>Out!J11</f>
        <v>0</v>
      </c>
      <c r="M12" s="3">
        <f>Nov!J11</f>
        <v>0</v>
      </c>
      <c r="N12" s="3">
        <f>Dez!J11</f>
        <v>0</v>
      </c>
      <c r="O12" s="3">
        <f>SUM(tblDespesas[[#This Row],[Jan]:[Dez]])</f>
        <v>27.009999999999998</v>
      </c>
      <c r="P12" s="4"/>
    </row>
    <row r="13" spans="2:16" x14ac:dyDescent="0.25">
      <c r="B13" t="s">
        <v>31</v>
      </c>
      <c r="C13" s="3">
        <f>Jan!J12</f>
        <v>0</v>
      </c>
      <c r="D13" s="3">
        <f>Fev!J12</f>
        <v>0</v>
      </c>
      <c r="E13" s="3">
        <f>Mar!J12</f>
        <v>0</v>
      </c>
      <c r="F13" s="3">
        <f>Abr!J12</f>
        <v>0</v>
      </c>
      <c r="G13" s="3">
        <f>Mai!J12</f>
        <v>0</v>
      </c>
      <c r="H13" s="3">
        <f>Jun!J12</f>
        <v>0</v>
      </c>
      <c r="I13" s="3">
        <f>Jul!J12</f>
        <v>0</v>
      </c>
      <c r="J13" s="3">
        <f>Ago!J12</f>
        <v>0</v>
      </c>
      <c r="K13" s="3">
        <f>Set!J12</f>
        <v>0</v>
      </c>
      <c r="L13" s="3">
        <f>Out!J12</f>
        <v>0</v>
      </c>
      <c r="M13" s="3">
        <f>Nov!J12</f>
        <v>0</v>
      </c>
      <c r="N13" s="3">
        <f>Dez!J12</f>
        <v>0</v>
      </c>
      <c r="O13" s="3">
        <f>SUM(tblDespesas[[#This Row],[Jan]:[Dez]])</f>
        <v>0</v>
      </c>
      <c r="P13" s="4"/>
    </row>
    <row r="14" spans="2:16" x14ac:dyDescent="0.25">
      <c r="B14" t="s">
        <v>37</v>
      </c>
      <c r="C14" s="3">
        <f>Jan!J13</f>
        <v>0</v>
      </c>
      <c r="D14" s="3">
        <f>Fev!J13</f>
        <v>0</v>
      </c>
      <c r="E14" s="3">
        <f>Mar!J13</f>
        <v>0</v>
      </c>
      <c r="F14" s="3">
        <f>Abr!J13</f>
        <v>0</v>
      </c>
      <c r="G14" s="3">
        <f>Mai!J13</f>
        <v>0</v>
      </c>
      <c r="H14" s="3">
        <f>Jun!J13</f>
        <v>0</v>
      </c>
      <c r="I14" s="3">
        <f>Jul!J13</f>
        <v>0</v>
      </c>
      <c r="J14" s="3">
        <f>Ago!J13</f>
        <v>0</v>
      </c>
      <c r="K14" s="3">
        <f>Set!J13</f>
        <v>0</v>
      </c>
      <c r="L14" s="3">
        <f>Out!J13</f>
        <v>0</v>
      </c>
      <c r="M14" s="3">
        <f>Nov!J13</f>
        <v>0</v>
      </c>
      <c r="N14" s="3">
        <f>Dez!J13</f>
        <v>0</v>
      </c>
      <c r="O14" s="3">
        <f>SUM(tblDespesas[[#This Row],[Jan]:[Dez]])</f>
        <v>0</v>
      </c>
      <c r="P14" s="4"/>
    </row>
    <row r="15" spans="2:16" x14ac:dyDescent="0.25">
      <c r="B15" t="s">
        <v>38</v>
      </c>
      <c r="C15" s="3">
        <f>Jan!J14</f>
        <v>0</v>
      </c>
      <c r="D15" s="3">
        <f>Fev!J14</f>
        <v>0</v>
      </c>
      <c r="E15" s="3">
        <f>Mar!J14</f>
        <v>0</v>
      </c>
      <c r="F15" s="3">
        <f>Abr!J14</f>
        <v>0</v>
      </c>
      <c r="G15" s="3">
        <f>Mai!J14</f>
        <v>0</v>
      </c>
      <c r="H15" s="3">
        <f>Jun!J14</f>
        <v>0</v>
      </c>
      <c r="I15" s="3">
        <f>Jul!J14</f>
        <v>0</v>
      </c>
      <c r="J15" s="3">
        <f>Ago!J14</f>
        <v>0</v>
      </c>
      <c r="K15" s="3">
        <f>Set!J14</f>
        <v>0</v>
      </c>
      <c r="L15" s="3">
        <f>Out!J14</f>
        <v>0</v>
      </c>
      <c r="M15" s="3">
        <f>Nov!J14</f>
        <v>0</v>
      </c>
      <c r="N15" s="3">
        <f>Dez!J14</f>
        <v>0</v>
      </c>
      <c r="O15" s="3">
        <f>SUM(tblDespesas[[#This Row],[Jan]:[Dez]])</f>
        <v>0</v>
      </c>
      <c r="P15" s="4"/>
    </row>
    <row r="16" spans="2:16" x14ac:dyDescent="0.25">
      <c r="B16" t="s">
        <v>39</v>
      </c>
      <c r="C16" s="3">
        <f>Jan!J15</f>
        <v>0</v>
      </c>
      <c r="D16" s="3">
        <f>Fev!J15</f>
        <v>0</v>
      </c>
      <c r="E16" s="3">
        <f>Mar!J15</f>
        <v>0</v>
      </c>
      <c r="F16" s="3">
        <f>Abr!J15</f>
        <v>0</v>
      </c>
      <c r="G16" s="3">
        <f>Mai!J15</f>
        <v>0</v>
      </c>
      <c r="H16" s="3">
        <f>Jun!J15</f>
        <v>0</v>
      </c>
      <c r="I16" s="3">
        <f>Jul!J15</f>
        <v>0</v>
      </c>
      <c r="J16" s="3">
        <f>Ago!J15</f>
        <v>0</v>
      </c>
      <c r="K16" s="3">
        <f>Set!J15</f>
        <v>0</v>
      </c>
      <c r="L16" s="3">
        <f>Out!J15</f>
        <v>0</v>
      </c>
      <c r="M16" s="3">
        <f>Nov!J15</f>
        <v>0</v>
      </c>
      <c r="N16" s="3">
        <f>Dez!J15</f>
        <v>0</v>
      </c>
      <c r="O16" s="3">
        <f>SUM(tblDespesas[[#This Row],[Jan]:[Dez]])</f>
        <v>0</v>
      </c>
      <c r="P16" s="4"/>
    </row>
    <row r="17" spans="2:16" x14ac:dyDescent="0.25">
      <c r="B17" t="s">
        <v>40</v>
      </c>
      <c r="C17" s="3">
        <f>Jan!J16</f>
        <v>0</v>
      </c>
      <c r="D17" s="3">
        <f>Fev!J16</f>
        <v>0</v>
      </c>
      <c r="E17" s="3">
        <f>Mar!J16</f>
        <v>0</v>
      </c>
      <c r="F17" s="3">
        <f>Abr!J16</f>
        <v>0</v>
      </c>
      <c r="G17" s="3">
        <f>Mai!J16</f>
        <v>0</v>
      </c>
      <c r="H17" s="3">
        <f>Jun!J16</f>
        <v>0</v>
      </c>
      <c r="I17" s="3">
        <f>Jul!J16</f>
        <v>0</v>
      </c>
      <c r="J17" s="3">
        <f>Ago!J16</f>
        <v>0</v>
      </c>
      <c r="K17" s="3">
        <f>Set!J16</f>
        <v>9</v>
      </c>
      <c r="L17" s="3">
        <f>Out!J16</f>
        <v>0</v>
      </c>
      <c r="M17" s="3">
        <f>Nov!J16</f>
        <v>0</v>
      </c>
      <c r="N17" s="3">
        <f>Dez!J16</f>
        <v>0</v>
      </c>
      <c r="O17" s="3">
        <f>SUM(tblDespesas[[#This Row],[Jan]:[Dez]])</f>
        <v>9</v>
      </c>
      <c r="P17" s="4"/>
    </row>
    <row r="18" spans="2:16" x14ac:dyDescent="0.25">
      <c r="B18" t="s">
        <v>41</v>
      </c>
      <c r="C18" s="3">
        <f>Jan!J17</f>
        <v>0</v>
      </c>
      <c r="D18" s="3">
        <f>Fev!J17</f>
        <v>0</v>
      </c>
      <c r="E18" s="3">
        <f>Mar!J17</f>
        <v>0</v>
      </c>
      <c r="F18" s="3">
        <f>Abr!J17</f>
        <v>0</v>
      </c>
      <c r="G18" s="3">
        <f>Mai!J17</f>
        <v>0</v>
      </c>
      <c r="H18" s="3">
        <f>Jun!J17</f>
        <v>0</v>
      </c>
      <c r="I18" s="3">
        <f>Jul!J17</f>
        <v>0</v>
      </c>
      <c r="J18" s="3">
        <f>Ago!J17</f>
        <v>0</v>
      </c>
      <c r="K18" s="3">
        <f>Set!J17</f>
        <v>0.17</v>
      </c>
      <c r="L18" s="3">
        <f>Out!J17</f>
        <v>0</v>
      </c>
      <c r="M18" s="3">
        <f>Nov!J17</f>
        <v>0</v>
      </c>
      <c r="N18" s="3">
        <f>Dez!J17</f>
        <v>0</v>
      </c>
      <c r="O18" s="3">
        <f>SUM(tblDespesas[[#This Row],[Jan]:[Dez]])</f>
        <v>0.17</v>
      </c>
      <c r="P18" s="4"/>
    </row>
    <row r="19" spans="2:16" x14ac:dyDescent="0.25">
      <c r="B19" t="s">
        <v>42</v>
      </c>
      <c r="C19" s="3">
        <f>Jan!J18</f>
        <v>0</v>
      </c>
      <c r="D19" s="3">
        <f>Fev!J18</f>
        <v>0</v>
      </c>
      <c r="E19" s="3">
        <f>Mar!J18</f>
        <v>0</v>
      </c>
      <c r="F19" s="3">
        <f>Abr!J18</f>
        <v>0</v>
      </c>
      <c r="G19" s="3">
        <f>Mai!J18</f>
        <v>0</v>
      </c>
      <c r="H19" s="3">
        <f>Jun!J18</f>
        <v>0</v>
      </c>
      <c r="I19" s="3">
        <f>Jul!J18</f>
        <v>0</v>
      </c>
      <c r="J19" s="3">
        <f>Ago!J18</f>
        <v>0</v>
      </c>
      <c r="K19" s="3">
        <f>Set!J18</f>
        <v>0</v>
      </c>
      <c r="L19" s="3">
        <f>Out!J18</f>
        <v>0</v>
      </c>
      <c r="M19" s="3">
        <f>Nov!J18</f>
        <v>0</v>
      </c>
      <c r="N19" s="3">
        <f>Dez!J18</f>
        <v>0</v>
      </c>
      <c r="O19" s="3">
        <f>SUM(tblDespesas[[#This Row],[Jan]:[Dez]])</f>
        <v>0</v>
      </c>
      <c r="P19" s="4"/>
    </row>
    <row r="20" spans="2:16" x14ac:dyDescent="0.25">
      <c r="B20" t="s">
        <v>18</v>
      </c>
      <c r="C20" s="3">
        <f>SUBTOTAL(109,tblDespesas[Jan])</f>
        <v>0</v>
      </c>
      <c r="D20" s="3">
        <f>SUBTOTAL(109,tblDespesas[Fev])</f>
        <v>0</v>
      </c>
      <c r="E20" s="3">
        <f>SUBTOTAL(109,tblDespesas[Mar])</f>
        <v>0</v>
      </c>
      <c r="F20" s="3">
        <f>SUBTOTAL(109,tblDespesas[Abr])</f>
        <v>0</v>
      </c>
      <c r="G20" s="3">
        <f>SUBTOTAL(109,tblDespesas[Mai])</f>
        <v>0</v>
      </c>
      <c r="H20" s="3">
        <f>SUBTOTAL(109,tblDespesas[Jun])</f>
        <v>0</v>
      </c>
      <c r="I20" s="3">
        <f>SUBTOTAL(109,tblDespesas[Jul])</f>
        <v>0</v>
      </c>
      <c r="J20" s="3">
        <f>SUBTOTAL(109,tblDespesas[Ago])</f>
        <v>0</v>
      </c>
      <c r="K20" s="3">
        <f>SUBTOTAL(109,tblDespesas[Set])</f>
        <v>159.38</v>
      </c>
      <c r="L20" s="3">
        <f>SUBTOTAL(109,tblDespesas[Out])</f>
        <v>0</v>
      </c>
      <c r="M20" s="3">
        <f>SUBTOTAL(109,tblDespesas[Nov])</f>
        <v>0</v>
      </c>
      <c r="N20" s="3">
        <f>SUBTOTAL(109,tblDespesas[Dez])</f>
        <v>0</v>
      </c>
      <c r="O20" s="3">
        <f>SUBTOTAL(109,tblDespesas[Total])</f>
        <v>159.38</v>
      </c>
      <c r="P20" s="6"/>
    </row>
    <row r="21" spans="2:16" ht="7.5" customHeight="1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2:16" x14ac:dyDescent="0.25">
      <c r="C22" s="3">
        <f>tblGanhos[[#Totals],[Jan]]-tblDespesas[[#Totals],[Jan]]</f>
        <v>0</v>
      </c>
      <c r="D22" s="3">
        <f>tblGanhos[[#Totals],[Fev]]-tblDespesas[[#Totals],[Fev]]</f>
        <v>0</v>
      </c>
      <c r="E22" s="3">
        <f>tblGanhos[[#Totals],[Mar]]-tblDespesas[[#Totals],[Mar]]</f>
        <v>0</v>
      </c>
      <c r="F22" s="3">
        <f>tblGanhos[[#Totals],[Abr]]-tblDespesas[[#Totals],[Abr]]</f>
        <v>0</v>
      </c>
      <c r="G22" s="3">
        <f>tblGanhos[[#Totals],[Mai]]-tblDespesas[[#Totals],[Mai]]</f>
        <v>0</v>
      </c>
      <c r="H22" s="3">
        <f>tblGanhos[[#Totals],[Jun]]-tblDespesas[[#Totals],[Jun]]</f>
        <v>0</v>
      </c>
      <c r="I22" s="3">
        <f>tblGanhos[[#Totals],[Jul]]-tblDespesas[[#Totals],[Jul]]</f>
        <v>0</v>
      </c>
      <c r="J22" s="3">
        <f>tblGanhos[[#Totals],[Ago]]-tblDespesas[[#Totals],[Ago]]</f>
        <v>0</v>
      </c>
      <c r="K22" s="3">
        <f>tblGanhos[[#Totals],[Set]]-tblDespesas[[#Totals],[Set]]</f>
        <v>329.31</v>
      </c>
      <c r="L22" s="3">
        <f>tblGanhos[[#Totals],[Out]]-tblDespesas[[#Totals],[Out]]</f>
        <v>0</v>
      </c>
      <c r="M22" s="3">
        <f>tblGanhos[[#Totals],[Nov]]-tblDespesas[[#Totals],[Nov]]</f>
        <v>0</v>
      </c>
      <c r="N22" s="3">
        <f>tblGanhos[[#Totals],[Dez]]-tblDespesas[[#Totals],[Dez]]</f>
        <v>0</v>
      </c>
      <c r="O22" s="15"/>
      <c r="P22" s="16"/>
    </row>
    <row r="23" spans="2:16" ht="15" customHeight="1" x14ac:dyDescent="0.25">
      <c r="B23" t="s">
        <v>21</v>
      </c>
      <c r="C23" s="1">
        <f>C22</f>
        <v>0</v>
      </c>
      <c r="D23" s="1">
        <f>C23+D22</f>
        <v>0</v>
      </c>
      <c r="E23" s="1">
        <f t="shared" ref="E23:N23" si="0">D23+E22</f>
        <v>0</v>
      </c>
      <c r="F23" s="1">
        <f t="shared" si="0"/>
        <v>0</v>
      </c>
      <c r="G23" s="1">
        <f t="shared" si="0"/>
        <v>0</v>
      </c>
      <c r="H23" s="1">
        <f t="shared" si="0"/>
        <v>0</v>
      </c>
      <c r="I23" s="1">
        <f t="shared" si="0"/>
        <v>0</v>
      </c>
      <c r="J23" s="1">
        <f t="shared" si="0"/>
        <v>0</v>
      </c>
      <c r="K23" s="1">
        <f t="shared" si="0"/>
        <v>329.31</v>
      </c>
      <c r="L23" s="1">
        <f t="shared" si="0"/>
        <v>329.31</v>
      </c>
      <c r="M23" s="1">
        <f t="shared" si="0"/>
        <v>329.31</v>
      </c>
      <c r="N23" s="1">
        <f t="shared" si="0"/>
        <v>329.31</v>
      </c>
      <c r="O23" s="17"/>
      <c r="P23" s="18"/>
    </row>
    <row r="24" spans="2:16" ht="26.25" x14ac:dyDescent="0.4">
      <c r="B24" s="14" t="s">
        <v>16</v>
      </c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2"/>
    </row>
    <row r="25" spans="2:16" x14ac:dyDescent="0.25">
      <c r="B25" t="s">
        <v>0</v>
      </c>
      <c r="C25" s="3" t="s">
        <v>3</v>
      </c>
      <c r="D25" s="3" t="s">
        <v>4</v>
      </c>
      <c r="E25" s="3" t="s">
        <v>5</v>
      </c>
      <c r="F25" s="3" t="s">
        <v>6</v>
      </c>
      <c r="G25" s="3" t="s">
        <v>7</v>
      </c>
      <c r="H25" s="3" t="s">
        <v>8</v>
      </c>
      <c r="I25" s="3" t="s">
        <v>9</v>
      </c>
      <c r="J25" s="3" t="s">
        <v>10</v>
      </c>
      <c r="K25" s="3" t="s">
        <v>11</v>
      </c>
      <c r="L25" s="3" t="s">
        <v>12</v>
      </c>
      <c r="M25" s="3" t="s">
        <v>13</v>
      </c>
      <c r="N25" s="3" t="s">
        <v>14</v>
      </c>
      <c r="O25" s="3" t="s">
        <v>18</v>
      </c>
      <c r="P25" s="3" t="s">
        <v>20</v>
      </c>
    </row>
    <row r="26" spans="2:16" x14ac:dyDescent="0.25">
      <c r="B26" t="s">
        <v>17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458.9</v>
      </c>
      <c r="L26" s="3">
        <v>0</v>
      </c>
      <c r="M26" s="3">
        <v>0</v>
      </c>
      <c r="N26" s="3">
        <v>0</v>
      </c>
      <c r="O26" s="3">
        <f>SUM(tblGanhos[[#This Row],[Jan]:[Dez]])</f>
        <v>458.9</v>
      </c>
      <c r="P26" s="4"/>
    </row>
    <row r="27" spans="2:16" x14ac:dyDescent="0.25">
      <c r="B27" t="s">
        <v>22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29.79</v>
      </c>
      <c r="L27" s="3">
        <v>0</v>
      </c>
      <c r="M27" s="3">
        <v>0</v>
      </c>
      <c r="N27" s="3">
        <v>0</v>
      </c>
      <c r="O27" s="3">
        <f>SUM(tblGanhos[[#This Row],[Jan]:[Dez]])</f>
        <v>29.79</v>
      </c>
      <c r="P27" s="4"/>
    </row>
    <row r="28" spans="2:16" x14ac:dyDescent="0.25">
      <c r="B28" t="s">
        <v>19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f>SUM(tblGanhos[[#This Row],[Jan]:[Dez]])</f>
        <v>0</v>
      </c>
      <c r="P28" s="4"/>
    </row>
    <row r="29" spans="2:16" x14ac:dyDescent="0.25">
      <c r="B29" t="s">
        <v>18</v>
      </c>
      <c r="C29" s="3">
        <f>SUBTOTAL(109,tblGanhos[Jan])</f>
        <v>0</v>
      </c>
      <c r="D29" s="3">
        <f>SUBTOTAL(109,tblGanhos[Fev])</f>
        <v>0</v>
      </c>
      <c r="E29" s="3">
        <f>SUBTOTAL(109,tblGanhos[Mar])</f>
        <v>0</v>
      </c>
      <c r="F29" s="3">
        <f>SUBTOTAL(109,tblGanhos[Abr])</f>
        <v>0</v>
      </c>
      <c r="G29" s="3">
        <f>SUBTOTAL(109,tblGanhos[Mai])</f>
        <v>0</v>
      </c>
      <c r="H29" s="3">
        <f>SUBTOTAL(109,tblGanhos[Jun])</f>
        <v>0</v>
      </c>
      <c r="I29" s="3">
        <f>SUBTOTAL(109,tblGanhos[Jul])</f>
        <v>0</v>
      </c>
      <c r="J29" s="3">
        <f>SUBTOTAL(109,tblGanhos[Ago])</f>
        <v>0</v>
      </c>
      <c r="K29" s="3">
        <f>SUBTOTAL(109,tblGanhos[Set])</f>
        <v>488.69</v>
      </c>
      <c r="L29" s="3">
        <f>SUBTOTAL(109,tblGanhos[Out])</f>
        <v>0</v>
      </c>
      <c r="M29" s="3">
        <f>SUBTOTAL(109,tblGanhos[Nov])</f>
        <v>0</v>
      </c>
      <c r="N29" s="3">
        <f>SUBTOTAL(109,tblGanhos[Dez])</f>
        <v>0</v>
      </c>
      <c r="O29" s="3">
        <f>SUBTOTAL(109,tblGanhos[Total])</f>
        <v>488.69</v>
      </c>
      <c r="P29" s="8"/>
    </row>
    <row r="30" spans="2:16" ht="7.5" customHeight="1" x14ac:dyDescent="0.25"/>
    <row r="46" ht="7.5" customHeight="1" x14ac:dyDescent="0.25"/>
  </sheetData>
  <mergeCells count="4">
    <mergeCell ref="B1:O1"/>
    <mergeCell ref="B24:O24"/>
    <mergeCell ref="O22:P22"/>
    <mergeCell ref="O23:P23"/>
  </mergeCells>
  <conditionalFormatting sqref="C22:N2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3:N2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xr2:uid="{00000000-0003-0000-0000-000005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'2022'!C3:N3</xm:f>
              <xm:sqref>P3</xm:sqref>
            </x14:sparkline>
            <x14:sparkline>
              <xm:f>'2022'!C4:N4</xm:f>
              <xm:sqref>P4</xm:sqref>
            </x14:sparkline>
            <x14:sparkline>
              <xm:f>'2022'!C5:N5</xm:f>
              <xm:sqref>P5</xm:sqref>
            </x14:sparkline>
            <x14:sparkline>
              <xm:f>'2022'!C6:N6</xm:f>
              <xm:sqref>P6</xm:sqref>
            </x14:sparkline>
            <x14:sparkline>
              <xm:f>'2022'!C7:N7</xm:f>
              <xm:sqref>P7</xm:sqref>
            </x14:sparkline>
            <x14:sparkline>
              <xm:f>'2022'!C8:N8</xm:f>
              <xm:sqref>P8</xm:sqref>
            </x14:sparkline>
            <x14:sparkline>
              <xm:f>'2022'!C9:N9</xm:f>
              <xm:sqref>P9</xm:sqref>
            </x14:sparkline>
            <x14:sparkline>
              <xm:f>'2022'!C10:N10</xm:f>
              <xm:sqref>P10</xm:sqref>
            </x14:sparkline>
            <x14:sparkline>
              <xm:f>'2022'!C11:N11</xm:f>
              <xm:sqref>P11</xm:sqref>
            </x14:sparkline>
            <x14:sparkline>
              <xm:f>'2022'!C12:N12</xm:f>
              <xm:sqref>P12</xm:sqref>
            </x14:sparkline>
            <x14:sparkline>
              <xm:f>'2022'!C13:N13</xm:f>
              <xm:sqref>P13</xm:sqref>
            </x14:sparkline>
            <x14:sparkline>
              <xm:f>'2022'!C14:N14</xm:f>
              <xm:sqref>P14</xm:sqref>
            </x14:sparkline>
            <x14:sparkline>
              <xm:f>'2022'!C15:N15</xm:f>
              <xm:sqref>P15</xm:sqref>
            </x14:sparkline>
            <x14:sparkline>
              <xm:f>'2022'!C16:N16</xm:f>
              <xm:sqref>P16</xm:sqref>
            </x14:sparkline>
            <x14:sparkline>
              <xm:f>'2022'!C17:N17</xm:f>
              <xm:sqref>P17</xm:sqref>
            </x14:sparkline>
            <x14:sparkline>
              <xm:f>'2022'!C18:N18</xm:f>
              <xm:sqref>P18</xm:sqref>
            </x14:sparkline>
            <x14:sparkline>
              <xm:f>'2022'!C19:N19</xm:f>
              <xm:sqref>P19</xm:sqref>
            </x14:sparkline>
          </x14:sparklines>
        </x14:sparklineGroup>
        <x14:sparklineGroup displayEmptyCellsAs="gap" markers="1" xr2:uid="{00000000-0003-0000-0000-000004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'2022'!C20:N20</xm:f>
              <xm:sqref>P20</xm:sqref>
            </x14:sparkline>
            <x14:sparkline>
              <xm:f>'2022'!C21:N21</xm:f>
              <xm:sqref>P21</xm:sqref>
            </x14:sparkline>
          </x14:sparklines>
        </x14:sparklineGroup>
        <x14:sparklineGroup displayEmptyCellsAs="gap" markers="1" xr2:uid="{00000000-0003-0000-0000-000003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'2022'!C26:N26</xm:f>
              <xm:sqref>P26</xm:sqref>
            </x14:sparkline>
            <x14:sparkline>
              <xm:f>'2022'!C27:N27</xm:f>
              <xm:sqref>P27</xm:sqref>
            </x14:sparkline>
            <x14:sparkline>
              <xm:f>'2022'!C28:N28</xm:f>
              <xm:sqref>P28</xm:sqref>
            </x14:sparkline>
          </x14:sparklines>
        </x14:sparklineGroup>
        <x14:sparklineGroup displayEmptyCellsAs="gap" markers="1" xr2:uid="{00000000-0003-0000-0000-000002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'2022'!C23:N23</xm:f>
              <xm:sqref>O22</xm:sqref>
            </x14:sparkline>
          </x14:sparklines>
        </x14:sparklineGroup>
        <x14:sparklineGroup displayEmptyCellsAs="gap" markers="1" xr2:uid="{00000000-0003-0000-0000-000001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'2022'!C29:N29</xm:f>
              <xm:sqref>P29</xm:sqref>
            </x14:sparkline>
          </x14:sparklines>
        </x14:sparklineGroup>
        <x14:sparklineGroup displayEmptyCellsAs="gap" markers="1" xr2:uid="{00000000-0003-0000-0000-000000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'2022'!C23:N23</xm:f>
              <xm:sqref>O23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37"/>
  <sheetViews>
    <sheetView workbookViewId="0">
      <selection activeCell="A2" sqref="A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0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SUMIF(tblJaneiro[Categoria],Tabela3[[#This Row],[Categoria]],tblJaneiro[Valor])</f>
        <v>0</v>
      </c>
      <c r="L2" s="13">
        <v>43466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SUMIF(tblJaneiro[Categoria],Tabela3[[#This Row],[Categoria]],tblJaneiro[Valor])</f>
        <v>0</v>
      </c>
      <c r="L3" s="13">
        <v>43467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SUMIF(tblJaneiro[Categoria],Tabela3[[#This Row],[Categoria]],tblJaneiro[Valor])</f>
        <v>0</v>
      </c>
      <c r="L4" s="13">
        <v>43468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SUMIF(tblJaneiro[Categoria],Tabela3[[#This Row],[Categoria]],tblJaneiro[Valor])</f>
        <v>0</v>
      </c>
      <c r="L5" s="13">
        <v>43469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SUMIF(tblJaneiro[Categoria],Tabela3[[#This Row],[Categoria]],tblJaneiro[Valor])</f>
        <v>0</v>
      </c>
      <c r="L6" s="13">
        <v>43470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SUMIF(tblJaneiro[Categoria],Tabela3[[#This Row],[Categoria]],tblJaneiro[Valor])</f>
        <v>0</v>
      </c>
      <c r="L7" s="13">
        <v>43471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SUMIF(tblJaneiro[Categoria],Tabela3[[#This Row],[Categoria]],tblJaneiro[Valor])</f>
        <v>0</v>
      </c>
      <c r="L8" s="13">
        <v>43472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SUMIF(tblJaneiro[Categoria],Tabela3[[#This Row],[Categoria]],tblJaneiro[Valor])</f>
        <v>0</v>
      </c>
      <c r="L9" s="13">
        <v>43473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SUMIF(tblJaneiro[Categoria],Tabela3[[#This Row],[Categoria]],tblJaneiro[Valor])</f>
        <v>0</v>
      </c>
      <c r="L10" s="13">
        <v>43474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SUMIF(tblJaneiro[Categoria],Tabela3[[#This Row],[Categoria]],tblJaneiro[Valor])</f>
        <v>0</v>
      </c>
      <c r="L11" s="13">
        <v>43475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SUMIF(tblJaneiro[Categoria],Tabela3[[#This Row],[Categoria]],tblJaneiro[Valor])</f>
        <v>0</v>
      </c>
      <c r="L12" s="13">
        <v>43476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SUMIF(tblJaneiro[Categoria],Tabela3[[#This Row],[Categoria]],tblJaneiro[Valor])</f>
        <v>0</v>
      </c>
      <c r="L13" s="13">
        <v>43477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SUMIF(tblJaneiro[Categoria],Tabela3[[#This Row],[Categoria]],tblJaneiro[Valor])</f>
        <v>0</v>
      </c>
      <c r="L14" s="13">
        <v>43478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SUMIF(tblJaneiro[Categoria],Tabela3[[#This Row],[Categoria]],tblJaneiro[Valor])</f>
        <v>0</v>
      </c>
      <c r="L15" s="13">
        <v>43479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SUMIF(tblJaneiro[Categoria],Tabela3[[#This Row],[Categoria]],tblJaneiro[Valor])</f>
        <v>0</v>
      </c>
      <c r="L16" s="13">
        <v>43480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SUMIF(tblJaneiro[Categoria],Tabela3[[#This Row],[Categoria]],tblJaneiro[Valor])</f>
        <v>0</v>
      </c>
      <c r="L17" s="13">
        <v>43481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SUMIF(tblJaneiro[Categoria],Tabela3[[#This Row],[Categoria]],tblJaneiro[Valor])</f>
        <v>0</v>
      </c>
      <c r="L18" s="13">
        <v>43482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SUBTOTAL(109,Tabela3[Total])</f>
        <v>0</v>
      </c>
      <c r="L19" s="13">
        <v>43483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43484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43485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43486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43487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43488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43489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43490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43491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43492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43493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43494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43495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43496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'2022'!$B$3:$B$19</xm:f>
          </x14:formula1>
          <xm:sqref>A2:A3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39"/>
  <sheetViews>
    <sheetView workbookViewId="0">
      <selection activeCell="G34" sqref="G34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8.42578125" bestFit="1" customWidth="1"/>
    <col min="12" max="12" width="10.7109375" bestFit="1" customWidth="1"/>
    <col min="13" max="13" width="4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SUMIF(tblJaneiro12[Categoria],Tabela313[[#This Row],[Categoria]],tblJaneiro12[Valor])</f>
        <v>0</v>
      </c>
      <c r="L2" s="13">
        <v>43497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SUMIF(tblJaneiro12[Categoria],Tabela313[[#This Row],[Categoria]],tblJaneiro12[Valor])</f>
        <v>0</v>
      </c>
      <c r="L3" s="13">
        <v>43498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SUMIF(tblJaneiro12[Categoria],Tabela313[[#This Row],[Categoria]],tblJaneiro12[Valor])</f>
        <v>0</v>
      </c>
      <c r="L4" s="13">
        <v>43499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SUMIF(tblJaneiro12[Categoria],Tabela313[[#This Row],[Categoria]],tblJaneiro12[Valor])</f>
        <v>0</v>
      </c>
      <c r="L5" s="13">
        <v>43500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SUMIF(tblJaneiro12[Categoria],Tabela313[[#This Row],[Categoria]],tblJaneiro12[Valor])</f>
        <v>0</v>
      </c>
      <c r="L6" s="13">
        <v>43501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SUMIF(tblJaneiro12[Categoria],Tabela313[[#This Row],[Categoria]],tblJaneiro12[Valor])</f>
        <v>0</v>
      </c>
      <c r="L7" s="13">
        <v>43502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SUMIF(tblJaneiro12[Categoria],Tabela313[[#This Row],[Categoria]],tblJaneiro12[Valor])</f>
        <v>0</v>
      </c>
      <c r="L8" s="13">
        <v>43503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SUMIF(tblJaneiro12[Categoria],Tabela313[[#This Row],[Categoria]],tblJaneiro12[Valor])</f>
        <v>0</v>
      </c>
      <c r="L9" s="13">
        <v>43504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SUMIF(tblJaneiro12[Categoria],Tabela313[[#This Row],[Categoria]],tblJaneiro12[Valor])</f>
        <v>0</v>
      </c>
      <c r="L10" s="13">
        <v>43505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SUMIF(tblJaneiro12[Categoria],Tabela313[[#This Row],[Categoria]],tblJaneiro12[Valor])</f>
        <v>0</v>
      </c>
      <c r="L11" s="13">
        <v>43506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SUMIF(tblJaneiro12[Categoria],Tabela313[[#This Row],[Categoria]],tblJaneiro12[Valor])</f>
        <v>0</v>
      </c>
      <c r="L12" s="13">
        <v>43507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SUMIF(tblJaneiro12[Categoria],Tabela313[[#This Row],[Categoria]],tblJaneiro12[Valor])</f>
        <v>0</v>
      </c>
      <c r="L13" s="13">
        <v>43508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SUMIF(tblJaneiro12[Categoria],Tabela313[[#This Row],[Categoria]],tblJaneiro12[Valor])</f>
        <v>0</v>
      </c>
      <c r="L14" s="13">
        <v>43509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SUMIF(tblJaneiro12[Categoria],Tabela313[[#This Row],[Categoria]],tblJaneiro12[Valor])</f>
        <v>0</v>
      </c>
      <c r="L15" s="13">
        <v>43510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SUMIF(tblJaneiro12[Categoria],Tabela313[[#This Row],[Categoria]],tblJaneiro12[Valor])</f>
        <v>0</v>
      </c>
      <c r="L16" s="13">
        <v>43511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SUMIF(tblJaneiro12[Categoria],Tabela313[[#This Row],[Categoria]],tblJaneiro12[Valor])</f>
        <v>0</v>
      </c>
      <c r="L17" s="13">
        <v>43512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SUMIF(tblJaneiro12[Categoria],Tabela313[[#This Row],[Categoria]],tblJaneiro12[Valor])</f>
        <v>0</v>
      </c>
      <c r="L18" s="13">
        <v>43513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SUBTOTAL(109,Tabela313[Total])</f>
        <v>0</v>
      </c>
      <c r="L19" s="13">
        <v>43514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43515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43516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43517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43518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43519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43520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43521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43522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43523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43524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M30">
        <f>SUM(M2:M29)</f>
        <v>126</v>
      </c>
    </row>
    <row r="31" spans="2:13" x14ac:dyDescent="0.25">
      <c r="B31" s="5"/>
      <c r="C31" s="7"/>
      <c r="D31" s="5"/>
      <c r="E31" s="5"/>
      <c r="F31" s="5"/>
      <c r="G31" s="5"/>
    </row>
    <row r="32" spans="2:13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'2022'!$B$3:$B$19</xm:f>
          </x14:formula1>
          <xm:sqref>A2:A3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52"/>
  <sheetViews>
    <sheetView workbookViewId="0">
      <selection activeCell="A2" sqref="A2:G5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SUMIF(tblJaneiro1214[Categoria],Tabela31315[[#This Row],[Categoria]],tblJaneiro1214[Valor])</f>
        <v>0</v>
      </c>
      <c r="L2" s="13">
        <v>43525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SUMIF(tblJaneiro1214[Categoria],Tabela31315[[#This Row],[Categoria]],tblJaneiro1214[Valor])</f>
        <v>0</v>
      </c>
      <c r="L3" s="13">
        <v>43526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SUMIF(tblJaneiro1214[Categoria],Tabela31315[[#This Row],[Categoria]],tblJaneiro1214[Valor])</f>
        <v>0</v>
      </c>
      <c r="L4" s="13">
        <v>43527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SUMIF(tblJaneiro1214[Categoria],Tabela31315[[#This Row],[Categoria]],tblJaneiro1214[Valor])</f>
        <v>0</v>
      </c>
      <c r="L5" s="13">
        <v>43528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SUMIF(tblJaneiro1214[Categoria],Tabela31315[[#This Row],[Categoria]],tblJaneiro1214[Valor])</f>
        <v>0</v>
      </c>
      <c r="L6" s="13">
        <v>43529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SUMIF(tblJaneiro1214[Categoria],Tabela31315[[#This Row],[Categoria]],tblJaneiro1214[Valor])</f>
        <v>0</v>
      </c>
      <c r="L7" s="13">
        <v>43530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SUMIF(tblJaneiro1214[Categoria],Tabela31315[[#This Row],[Categoria]],tblJaneiro1214[Valor])</f>
        <v>0</v>
      </c>
      <c r="L8" s="13">
        <v>43531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SUMIF(tblJaneiro1214[Categoria],Tabela31315[[#This Row],[Categoria]],tblJaneiro1214[Valor])</f>
        <v>0</v>
      </c>
      <c r="L9" s="13">
        <v>43532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SUMIF(tblJaneiro1214[Categoria],Tabela31315[[#This Row],[Categoria]],tblJaneiro1214[Valor])</f>
        <v>0</v>
      </c>
      <c r="L10" s="13">
        <v>43533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SUMIF(tblJaneiro1214[Categoria],Tabela31315[[#This Row],[Categoria]],tblJaneiro1214[Valor])</f>
        <v>0</v>
      </c>
      <c r="L11" s="13">
        <v>43534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SUMIF(tblJaneiro1214[Categoria],Tabela31315[[#This Row],[Categoria]],tblJaneiro1214[Valor])</f>
        <v>0</v>
      </c>
      <c r="L12" s="13">
        <v>43535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SUMIF(tblJaneiro1214[Categoria],Tabela31315[[#This Row],[Categoria]],tblJaneiro1214[Valor])</f>
        <v>0</v>
      </c>
      <c r="L13" s="13">
        <v>43536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SUMIF(tblJaneiro1214[Categoria],Tabela31315[[#This Row],[Categoria]],tblJaneiro1214[Valor])</f>
        <v>0</v>
      </c>
      <c r="L14" s="13">
        <v>43537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SUMIF(tblJaneiro1214[Categoria],Tabela31315[[#This Row],[Categoria]],tblJaneiro1214[Valor])</f>
        <v>0</v>
      </c>
      <c r="L15" s="13">
        <v>43538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SUMIF(tblJaneiro1214[Categoria],Tabela31315[[#This Row],[Categoria]],tblJaneiro1214[Valor])</f>
        <v>0</v>
      </c>
      <c r="L16" s="13">
        <v>43539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SUMIF(tblJaneiro1214[Categoria],Tabela31315[[#This Row],[Categoria]],tblJaneiro1214[Valor])</f>
        <v>0</v>
      </c>
      <c r="L17" s="13">
        <v>43540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SUMIF(tblJaneiro1214[Categoria],Tabela31315[[#This Row],[Categoria]],tblJaneiro1214[Valor])</f>
        <v>0</v>
      </c>
      <c r="L18" s="13">
        <v>43541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SUBTOTAL(109,Tabela31315[Total])</f>
        <v>0</v>
      </c>
      <c r="L19" s="13">
        <v>43542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43543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43544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43545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43546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43547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43548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43549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43550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43551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43552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43553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43554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43555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'2022'!$B$3:$B$19</xm:f>
          </x14:formula1>
          <xm:sqref>A2:A52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M63"/>
  <sheetViews>
    <sheetView workbookViewId="0">
      <selection activeCell="B11" sqref="B11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" bestFit="1" customWidth="1"/>
    <col min="5" max="5" width="9.42578125" bestFit="1" customWidth="1"/>
    <col min="6" max="6" width="9.85546875" bestFit="1" customWidth="1"/>
    <col min="7" max="7" width="20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SUMIF(tblJaneiro121416[Categoria],Tabela3131517[[#This Row],[Categoria]],tblJaneiro121416[Valor])</f>
        <v>0</v>
      </c>
      <c r="L2" s="13">
        <v>43556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SUMIF(tblJaneiro121416[Categoria],Tabela3131517[[#This Row],[Categoria]],tblJaneiro121416[Valor])</f>
        <v>0</v>
      </c>
      <c r="L3" s="13">
        <v>43557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SUMIF(tblJaneiro121416[Categoria],Tabela3131517[[#This Row],[Categoria]],tblJaneiro121416[Valor])</f>
        <v>0</v>
      </c>
      <c r="L4" s="13">
        <v>43558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SUMIF(tblJaneiro121416[Categoria],Tabela3131517[[#This Row],[Categoria]],tblJaneiro121416[Valor])</f>
        <v>0</v>
      </c>
      <c r="L5" s="13">
        <v>43559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SUMIF(tblJaneiro121416[Categoria],Tabela3131517[[#This Row],[Categoria]],tblJaneiro121416[Valor])</f>
        <v>0</v>
      </c>
      <c r="L6" s="13">
        <v>43560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SUMIF(tblJaneiro121416[Categoria],Tabela3131517[[#This Row],[Categoria]],tblJaneiro121416[Valor])</f>
        <v>0</v>
      </c>
      <c r="L7" s="13">
        <v>43561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SUMIF(tblJaneiro121416[Categoria],Tabela3131517[[#This Row],[Categoria]],tblJaneiro121416[Valor])</f>
        <v>0</v>
      </c>
      <c r="L8" s="13">
        <v>43562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SUMIF(tblJaneiro121416[Categoria],Tabela3131517[[#This Row],[Categoria]],tblJaneiro121416[Valor])</f>
        <v>0</v>
      </c>
      <c r="L9" s="13">
        <v>43563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SUMIF(tblJaneiro121416[Categoria],Tabela3131517[[#This Row],[Categoria]],tblJaneiro121416[Valor])</f>
        <v>0</v>
      </c>
      <c r="L10" s="13">
        <v>43564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SUMIF(tblJaneiro121416[Categoria],Tabela3131517[[#This Row],[Categoria]],tblJaneiro121416[Valor])</f>
        <v>0</v>
      </c>
      <c r="L11" s="13">
        <v>43565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SUMIF(tblJaneiro121416[Categoria],Tabela3131517[[#This Row],[Categoria]],tblJaneiro121416[Valor])</f>
        <v>0</v>
      </c>
      <c r="L12" s="13">
        <v>43566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SUMIF(tblJaneiro121416[Categoria],Tabela3131517[[#This Row],[Categoria]],tblJaneiro121416[Valor])</f>
        <v>0</v>
      </c>
      <c r="L13" s="13">
        <v>43567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SUMIF(tblJaneiro121416[Categoria],Tabela3131517[[#This Row],[Categoria]],tblJaneiro121416[Valor])</f>
        <v>0</v>
      </c>
      <c r="L14" s="13">
        <v>43568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SUMIF(tblJaneiro121416[Categoria],Tabela3131517[[#This Row],[Categoria]],tblJaneiro121416[Valor])</f>
        <v>0</v>
      </c>
      <c r="L15" s="13">
        <v>43569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SUMIF(tblJaneiro121416[Categoria],Tabela3131517[[#This Row],[Categoria]],tblJaneiro121416[Valor])</f>
        <v>0</v>
      </c>
      <c r="L16" s="13">
        <v>43570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SUMIF(tblJaneiro121416[Categoria],Tabela3131517[[#This Row],[Categoria]],tblJaneiro121416[Valor])</f>
        <v>0</v>
      </c>
      <c r="L17" s="13">
        <v>43571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SUMIF(tblJaneiro121416[Categoria],Tabela3131517[[#This Row],[Categoria]],tblJaneiro121416[Valor])</f>
        <v>0</v>
      </c>
      <c r="L18" s="13">
        <v>43572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SUBTOTAL(109,Tabela3131517[Total])</f>
        <v>0</v>
      </c>
      <c r="L19" s="13">
        <v>43573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43574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43575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43576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43577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43578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43579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43580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43581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43582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43583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43584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43585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M32">
        <f>SUM(M2:M31)</f>
        <v>135</v>
      </c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'2022'!$B$3:$B$19</xm:f>
          </x14:formula1>
          <xm:sqref>A2:A63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80"/>
  <sheetViews>
    <sheetView workbookViewId="0">
      <selection activeCell="C11" sqref="C11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SUMIF(tblJaneiro12141618[Categoria],Tabela313151719[[#This Row],[Categoria]],tblJaneiro12141618[Valor])</f>
        <v>0</v>
      </c>
      <c r="L2" s="13">
        <v>43586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SUMIF(tblJaneiro12141618[Categoria],Tabela313151719[[#This Row],[Categoria]],tblJaneiro12141618[Valor])</f>
        <v>0</v>
      </c>
      <c r="L3" s="13">
        <v>43587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SUMIF(tblJaneiro12141618[Categoria],Tabela313151719[[#This Row],[Categoria]],tblJaneiro12141618[Valor])</f>
        <v>0</v>
      </c>
      <c r="L4" s="13">
        <v>43588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SUMIF(tblJaneiro12141618[Categoria],Tabela313151719[[#This Row],[Categoria]],tblJaneiro12141618[Valor])</f>
        <v>0</v>
      </c>
      <c r="L5" s="13">
        <v>43589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SUMIF(tblJaneiro12141618[Categoria],Tabela313151719[[#This Row],[Categoria]],tblJaneiro12141618[Valor])</f>
        <v>0</v>
      </c>
      <c r="L6" s="13">
        <v>43590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SUMIF(tblJaneiro12141618[Categoria],Tabela313151719[[#This Row],[Categoria]],tblJaneiro12141618[Valor])</f>
        <v>0</v>
      </c>
      <c r="L7" s="13">
        <v>43591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SUMIF(tblJaneiro12141618[Categoria],Tabela313151719[[#This Row],[Categoria]],tblJaneiro12141618[Valor])</f>
        <v>0</v>
      </c>
      <c r="L8" s="13">
        <v>43592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SUMIF(tblJaneiro12141618[Categoria],Tabela313151719[[#This Row],[Categoria]],tblJaneiro12141618[Valor])</f>
        <v>0</v>
      </c>
      <c r="L9" s="13">
        <v>43593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SUMIF(tblJaneiro12141618[Categoria],Tabela313151719[[#This Row],[Categoria]],tblJaneiro12141618[Valor])</f>
        <v>0</v>
      </c>
      <c r="L10" s="13">
        <v>43594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SUMIF(tblJaneiro12141618[Categoria],Tabela313151719[[#This Row],[Categoria]],tblJaneiro12141618[Valor])</f>
        <v>0</v>
      </c>
      <c r="L11" s="13">
        <v>43595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SUMIF(tblJaneiro12141618[Categoria],Tabela313151719[[#This Row],[Categoria]],tblJaneiro12141618[Valor])</f>
        <v>0</v>
      </c>
      <c r="L12" s="13">
        <v>43596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SUMIF(tblJaneiro12141618[Categoria],Tabela313151719[[#This Row],[Categoria]],tblJaneiro12141618[Valor])</f>
        <v>0</v>
      </c>
      <c r="L13" s="13">
        <v>43597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SUMIF(tblJaneiro12141618[Categoria],Tabela313151719[[#This Row],[Categoria]],tblJaneiro12141618[Valor])</f>
        <v>0</v>
      </c>
      <c r="L14" s="13">
        <v>43598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SUMIF(tblJaneiro12141618[Categoria],Tabela313151719[[#This Row],[Categoria]],tblJaneiro12141618[Valor])</f>
        <v>0</v>
      </c>
      <c r="L15" s="13">
        <v>43599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SUMIF(tblJaneiro12141618[Categoria],Tabela313151719[[#This Row],[Categoria]],tblJaneiro12141618[Valor])</f>
        <v>0</v>
      </c>
      <c r="L16" s="13">
        <v>43600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SUMIF(tblJaneiro12141618[Categoria],Tabela313151719[[#This Row],[Categoria]],tblJaneiro12141618[Valor])</f>
        <v>0</v>
      </c>
      <c r="L17" s="13">
        <v>43601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SUMIF(tblJaneiro12141618[Categoria],Tabela313151719[[#This Row],[Categoria]],tblJaneiro12141618[Valor])</f>
        <v>0</v>
      </c>
      <c r="L18" s="13">
        <v>43602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SUBTOTAL(109,Tabela313151719[Total])</f>
        <v>0</v>
      </c>
      <c r="L19" s="13">
        <v>43603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43604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43605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43606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43607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43608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43609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43610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43611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43612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43613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43614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43615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43616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  <row r="74" spans="2:7" x14ac:dyDescent="0.25">
      <c r="B74" s="5"/>
      <c r="C74" s="7"/>
      <c r="D74" s="5"/>
      <c r="E74" s="5"/>
      <c r="F74" s="5"/>
      <c r="G74" s="5"/>
    </row>
    <row r="75" spans="2:7" x14ac:dyDescent="0.25">
      <c r="B75" s="5"/>
      <c r="C75" s="7"/>
      <c r="D75" s="5"/>
      <c r="E75" s="5"/>
      <c r="F75" s="5"/>
      <c r="G75" s="5"/>
    </row>
    <row r="76" spans="2:7" x14ac:dyDescent="0.25">
      <c r="B76" s="5"/>
      <c r="C76" s="7"/>
      <c r="D76" s="5"/>
      <c r="E76" s="5"/>
      <c r="F76" s="5"/>
      <c r="G76" s="5"/>
    </row>
    <row r="77" spans="2:7" x14ac:dyDescent="0.25">
      <c r="B77" s="5"/>
      <c r="C77" s="7"/>
      <c r="D77" s="5"/>
      <c r="E77" s="5"/>
      <c r="F77" s="5"/>
      <c r="G77" s="5"/>
    </row>
    <row r="78" spans="2:7" x14ac:dyDescent="0.25">
      <c r="B78" s="5"/>
      <c r="C78" s="7"/>
      <c r="D78" s="5"/>
      <c r="E78" s="5"/>
      <c r="F78" s="5"/>
      <c r="G78" s="5"/>
    </row>
    <row r="79" spans="2:7" x14ac:dyDescent="0.25">
      <c r="B79" s="5"/>
      <c r="C79" s="7"/>
      <c r="D79" s="5"/>
      <c r="E79" s="5"/>
      <c r="F79" s="5"/>
      <c r="G79" s="5"/>
    </row>
    <row r="80" spans="2:7" x14ac:dyDescent="0.25">
      <c r="B80" s="5"/>
      <c r="C80" s="7"/>
      <c r="D80" s="5"/>
      <c r="E80" s="5"/>
      <c r="F80" s="5"/>
      <c r="G80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'2022'!$B$3:$B$19</xm:f>
          </x14:formula1>
          <xm:sqref>A2:A80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M85"/>
  <sheetViews>
    <sheetView workbookViewId="0">
      <selection activeCell="A2" sqref="A2:G85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71093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SUMIF(tblJaneiro1214161820[Categoria],Tabela31315171921[[#This Row],[Categoria]],tblJaneiro1214161820[Valor])</f>
        <v>0</v>
      </c>
      <c r="L2" s="13">
        <v>43617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SUMIF(tblJaneiro1214161820[Categoria],Tabela31315171921[[#This Row],[Categoria]],tblJaneiro1214161820[Valor])</f>
        <v>0</v>
      </c>
      <c r="L3" s="13">
        <v>43618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SUMIF(tblJaneiro1214161820[Categoria],Tabela31315171921[[#This Row],[Categoria]],tblJaneiro1214161820[Valor])</f>
        <v>0</v>
      </c>
      <c r="L4" s="13">
        <v>43619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SUMIF(tblJaneiro1214161820[Categoria],Tabela31315171921[[#This Row],[Categoria]],tblJaneiro1214161820[Valor])</f>
        <v>0</v>
      </c>
      <c r="L5" s="13">
        <v>43620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SUMIF(tblJaneiro1214161820[Categoria],Tabela31315171921[[#This Row],[Categoria]],tblJaneiro1214161820[Valor])</f>
        <v>0</v>
      </c>
      <c r="L6" s="13">
        <v>43621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SUMIF(tblJaneiro1214161820[Categoria],Tabela31315171921[[#This Row],[Categoria]],tblJaneiro1214161820[Valor])</f>
        <v>0</v>
      </c>
      <c r="L7" s="13">
        <v>43622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SUMIF(tblJaneiro1214161820[Categoria],Tabela31315171921[[#This Row],[Categoria]],tblJaneiro1214161820[Valor])</f>
        <v>0</v>
      </c>
      <c r="L8" s="13">
        <v>43623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SUMIF(tblJaneiro1214161820[Categoria],Tabela31315171921[[#This Row],[Categoria]],tblJaneiro1214161820[Valor])</f>
        <v>0</v>
      </c>
      <c r="L9" s="13">
        <v>43624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SUMIF(tblJaneiro1214161820[Categoria],Tabela31315171921[[#This Row],[Categoria]],tblJaneiro1214161820[Valor])</f>
        <v>0</v>
      </c>
      <c r="L10" s="13">
        <v>43625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SUMIF(tblJaneiro1214161820[Categoria],Tabela31315171921[[#This Row],[Categoria]],tblJaneiro1214161820[Valor])</f>
        <v>0</v>
      </c>
      <c r="L11" s="13">
        <v>43626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SUMIF(tblJaneiro1214161820[Categoria],Tabela31315171921[[#This Row],[Categoria]],tblJaneiro1214161820[Valor])</f>
        <v>0</v>
      </c>
      <c r="L12" s="13">
        <v>43627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SUMIF(tblJaneiro1214161820[Categoria],Tabela31315171921[[#This Row],[Categoria]],tblJaneiro1214161820[Valor])</f>
        <v>0</v>
      </c>
      <c r="L13" s="13">
        <v>43628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SUMIF(tblJaneiro1214161820[Categoria],Tabela31315171921[[#This Row],[Categoria]],tblJaneiro1214161820[Valor])</f>
        <v>0</v>
      </c>
      <c r="L14" s="13">
        <v>43629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SUMIF(tblJaneiro1214161820[Categoria],Tabela31315171921[[#This Row],[Categoria]],tblJaneiro1214161820[Valor])</f>
        <v>0</v>
      </c>
      <c r="L15" s="13">
        <v>43630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SUMIF(tblJaneiro1214161820[Categoria],Tabela31315171921[[#This Row],[Categoria]],tblJaneiro1214161820[Valor])</f>
        <v>0</v>
      </c>
      <c r="L16" s="13">
        <v>43631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SUMIF(tblJaneiro1214161820[Categoria],Tabela31315171921[[#This Row],[Categoria]],tblJaneiro1214161820[Valor])</f>
        <v>0</v>
      </c>
      <c r="L17" s="13">
        <v>43632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SUMIF(tblJaneiro1214161820[Categoria],Tabela31315171921[[#This Row],[Categoria]],tblJaneiro1214161820[Valor])</f>
        <v>0</v>
      </c>
      <c r="L18" s="13">
        <v>43633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SUBTOTAL(109,Tabela31315171921[Total])</f>
        <v>0</v>
      </c>
      <c r="L19" s="13">
        <v>43634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43635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43636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43637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43638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43639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43640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43641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43642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43643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43644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43645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43646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M32">
        <f>SUM(M2:M31)</f>
        <v>135</v>
      </c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  <row r="74" spans="2:7" x14ac:dyDescent="0.25">
      <c r="B74" s="5"/>
      <c r="C74" s="7"/>
      <c r="D74" s="5"/>
      <c r="E74" s="5"/>
      <c r="F74" s="5"/>
      <c r="G74" s="5"/>
    </row>
    <row r="75" spans="2:7" x14ac:dyDescent="0.25">
      <c r="B75" s="5"/>
      <c r="C75" s="7"/>
      <c r="D75" s="5"/>
      <c r="E75" s="5"/>
      <c r="F75" s="5"/>
      <c r="G75" s="5"/>
    </row>
    <row r="76" spans="2:7" x14ac:dyDescent="0.25">
      <c r="B76" s="5"/>
      <c r="C76" s="7"/>
      <c r="D76" s="5"/>
      <c r="E76" s="5"/>
      <c r="F76" s="5"/>
      <c r="G76" s="5"/>
    </row>
    <row r="77" spans="2:7" x14ac:dyDescent="0.25">
      <c r="B77" s="5"/>
      <c r="C77" s="7"/>
      <c r="D77" s="5"/>
      <c r="E77" s="5"/>
      <c r="F77" s="5"/>
      <c r="G77" s="5"/>
    </row>
    <row r="78" spans="2:7" x14ac:dyDescent="0.25">
      <c r="B78" s="5"/>
      <c r="C78" s="7"/>
      <c r="D78" s="5"/>
      <c r="E78" s="5"/>
      <c r="F78" s="5"/>
      <c r="G78" s="5"/>
    </row>
    <row r="79" spans="2:7" x14ac:dyDescent="0.25">
      <c r="B79" s="5"/>
      <c r="C79" s="7"/>
      <c r="D79" s="5"/>
      <c r="E79" s="5"/>
      <c r="F79" s="5"/>
      <c r="G79" s="5"/>
    </row>
    <row r="80" spans="2:7" x14ac:dyDescent="0.25">
      <c r="B80" s="5"/>
      <c r="C80" s="7"/>
      <c r="D80" s="5"/>
      <c r="E80" s="5"/>
      <c r="F80" s="5"/>
      <c r="G80" s="5"/>
    </row>
    <row r="81" spans="2:7" x14ac:dyDescent="0.25">
      <c r="B81" s="5"/>
      <c r="C81" s="7"/>
      <c r="D81" s="5"/>
      <c r="E81" s="5"/>
      <c r="F81" s="5"/>
      <c r="G81" s="5"/>
    </row>
    <row r="82" spans="2:7" x14ac:dyDescent="0.25">
      <c r="B82" s="5"/>
      <c r="C82" s="7"/>
      <c r="D82" s="5"/>
      <c r="E82" s="5"/>
      <c r="F82" s="5"/>
      <c r="G82" s="5"/>
    </row>
    <row r="83" spans="2:7" x14ac:dyDescent="0.25">
      <c r="B83" s="5"/>
      <c r="C83" s="7"/>
      <c r="D83" s="5"/>
      <c r="E83" s="5"/>
      <c r="F83" s="5"/>
      <c r="G83" s="5"/>
    </row>
    <row r="84" spans="2:7" x14ac:dyDescent="0.25">
      <c r="B84" s="5"/>
      <c r="C84" s="7"/>
      <c r="D84" s="5"/>
      <c r="E84" s="5"/>
      <c r="F84" s="5"/>
      <c r="G84" s="5"/>
    </row>
    <row r="85" spans="2:7" x14ac:dyDescent="0.25">
      <c r="B85" s="5"/>
      <c r="C85" s="7"/>
      <c r="D85" s="5"/>
      <c r="E85" s="5"/>
      <c r="F85" s="5"/>
      <c r="G85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'2022'!$B$3:$B$19</xm:f>
          </x14:formula1>
          <xm:sqref>A2:A85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M69"/>
  <sheetViews>
    <sheetView workbookViewId="0">
      <selection activeCell="D12" sqref="D1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SUMIF(tblJaneiro121416182022[Categoria],Tabela3131517192123[[#This Row],[Categoria]],tblJaneiro121416182022[Valor])</f>
        <v>0</v>
      </c>
      <c r="L2" s="13">
        <v>43647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SUMIF(tblJaneiro121416182022[Categoria],Tabela3131517192123[[#This Row],[Categoria]],tblJaneiro121416182022[Valor])</f>
        <v>0</v>
      </c>
      <c r="L3" s="13">
        <v>43648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SUMIF(tblJaneiro121416182022[Categoria],Tabela3131517192123[[#This Row],[Categoria]],tblJaneiro121416182022[Valor])</f>
        <v>0</v>
      </c>
      <c r="L4" s="13">
        <v>43649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SUMIF(tblJaneiro121416182022[Categoria],Tabela3131517192123[[#This Row],[Categoria]],tblJaneiro121416182022[Valor])</f>
        <v>0</v>
      </c>
      <c r="L5" s="13">
        <v>43650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SUMIF(tblJaneiro121416182022[Categoria],Tabela3131517192123[[#This Row],[Categoria]],tblJaneiro121416182022[Valor])</f>
        <v>0</v>
      </c>
      <c r="L6" s="13">
        <v>43651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SUMIF(tblJaneiro121416182022[Categoria],Tabela3131517192123[[#This Row],[Categoria]],tblJaneiro121416182022[Valor])</f>
        <v>0</v>
      </c>
      <c r="L7" s="13">
        <v>43652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SUMIF(tblJaneiro121416182022[Categoria],Tabela3131517192123[[#This Row],[Categoria]],tblJaneiro121416182022[Valor])</f>
        <v>0</v>
      </c>
      <c r="L8" s="13">
        <v>43653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SUMIF(tblJaneiro121416182022[Categoria],Tabela3131517192123[[#This Row],[Categoria]],tblJaneiro121416182022[Valor])</f>
        <v>0</v>
      </c>
      <c r="L9" s="13">
        <v>43654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SUMIF(tblJaneiro121416182022[Categoria],Tabela3131517192123[[#This Row],[Categoria]],tblJaneiro121416182022[Valor])</f>
        <v>0</v>
      </c>
      <c r="L10" s="13">
        <v>43655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SUMIF(tblJaneiro121416182022[Categoria],Tabela3131517192123[[#This Row],[Categoria]],tblJaneiro121416182022[Valor])</f>
        <v>0</v>
      </c>
      <c r="L11" s="13">
        <v>43656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SUMIF(tblJaneiro121416182022[Categoria],Tabela3131517192123[[#This Row],[Categoria]],tblJaneiro121416182022[Valor])</f>
        <v>0</v>
      </c>
      <c r="L12" s="13">
        <v>43657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SUMIF(tblJaneiro121416182022[Categoria],Tabela3131517192123[[#This Row],[Categoria]],tblJaneiro121416182022[Valor])</f>
        <v>0</v>
      </c>
      <c r="L13" s="13">
        <v>43658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SUMIF(tblJaneiro121416182022[Categoria],Tabela3131517192123[[#This Row],[Categoria]],tblJaneiro121416182022[Valor])</f>
        <v>0</v>
      </c>
      <c r="L14" s="13">
        <v>43659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SUMIF(tblJaneiro121416182022[Categoria],Tabela3131517192123[[#This Row],[Categoria]],tblJaneiro121416182022[Valor])</f>
        <v>0</v>
      </c>
      <c r="L15" s="13">
        <v>43660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SUMIF(tblJaneiro121416182022[Categoria],Tabela3131517192123[[#This Row],[Categoria]],tblJaneiro121416182022[Valor])</f>
        <v>0</v>
      </c>
      <c r="L16" s="13">
        <v>43661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SUMIF(tblJaneiro121416182022[Categoria],Tabela3131517192123[[#This Row],[Categoria]],tblJaneiro121416182022[Valor])</f>
        <v>0</v>
      </c>
      <c r="L17" s="13">
        <v>43662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SUMIF(tblJaneiro121416182022[Categoria],Tabela3131517192123[[#This Row],[Categoria]],tblJaneiro121416182022[Valor])</f>
        <v>0</v>
      </c>
      <c r="L18" s="13">
        <v>43663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SUBTOTAL(109,Tabela3131517192123[Total])</f>
        <v>0</v>
      </c>
      <c r="L19" s="13">
        <v>43664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43665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43666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43667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43668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43669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43670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43671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43672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43673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43674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43675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43676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43677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'2022'!$B$3:$B$19</xm:f>
          </x14:formula1>
          <xm:sqref>A2:A69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M73"/>
  <sheetViews>
    <sheetView workbookViewId="0">
      <selection activeCell="D13" sqref="D13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SUMIF(tblJaneiro1214161820226[Categoria],Tabela31315171921238[[#This Row],[Categoria]],tblJaneiro1214161820226[Valor])</f>
        <v>0</v>
      </c>
      <c r="L2" s="13">
        <v>43678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SUMIF(tblJaneiro1214161820226[Categoria],Tabela31315171921238[[#This Row],[Categoria]],tblJaneiro1214161820226[Valor])</f>
        <v>0</v>
      </c>
      <c r="L3" s="13">
        <v>43679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SUMIF(tblJaneiro1214161820226[Categoria],Tabela31315171921238[[#This Row],[Categoria]],tblJaneiro1214161820226[Valor])</f>
        <v>0</v>
      </c>
      <c r="L4" s="13">
        <v>43680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SUMIF(tblJaneiro1214161820226[Categoria],Tabela31315171921238[[#This Row],[Categoria]],tblJaneiro1214161820226[Valor])</f>
        <v>0</v>
      </c>
      <c r="L5" s="13">
        <v>43681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SUMIF(tblJaneiro1214161820226[Categoria],Tabela31315171921238[[#This Row],[Categoria]],tblJaneiro1214161820226[Valor])</f>
        <v>0</v>
      </c>
      <c r="L6" s="13">
        <v>43682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SUMIF(tblJaneiro1214161820226[Categoria],Tabela31315171921238[[#This Row],[Categoria]],tblJaneiro1214161820226[Valor])</f>
        <v>0</v>
      </c>
      <c r="L7" s="13">
        <v>43683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SUMIF(tblJaneiro1214161820226[Categoria],Tabela31315171921238[[#This Row],[Categoria]],tblJaneiro1214161820226[Valor])</f>
        <v>0</v>
      </c>
      <c r="L8" s="13">
        <v>43684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SUMIF(tblJaneiro1214161820226[Categoria],Tabela31315171921238[[#This Row],[Categoria]],tblJaneiro1214161820226[Valor])</f>
        <v>0</v>
      </c>
      <c r="L9" s="13">
        <v>43685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SUMIF(tblJaneiro1214161820226[Categoria],Tabela31315171921238[[#This Row],[Categoria]],tblJaneiro1214161820226[Valor])</f>
        <v>0</v>
      </c>
      <c r="L10" s="13">
        <v>43686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SUMIF(tblJaneiro1214161820226[Categoria],Tabela31315171921238[[#This Row],[Categoria]],tblJaneiro1214161820226[Valor])</f>
        <v>0</v>
      </c>
      <c r="L11" s="13">
        <v>43687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SUMIF(tblJaneiro1214161820226[Categoria],Tabela31315171921238[[#This Row],[Categoria]],tblJaneiro1214161820226[Valor])</f>
        <v>0</v>
      </c>
      <c r="L12" s="13">
        <v>43688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SUMIF(tblJaneiro1214161820226[Categoria],Tabela31315171921238[[#This Row],[Categoria]],tblJaneiro1214161820226[Valor])</f>
        <v>0</v>
      </c>
      <c r="L13" s="13">
        <v>43689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SUMIF(tblJaneiro1214161820226[Categoria],Tabela31315171921238[[#This Row],[Categoria]],tblJaneiro1214161820226[Valor])</f>
        <v>0</v>
      </c>
      <c r="L14" s="13">
        <v>43690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SUMIF(tblJaneiro1214161820226[Categoria],Tabela31315171921238[[#This Row],[Categoria]],tblJaneiro1214161820226[Valor])</f>
        <v>0</v>
      </c>
      <c r="L15" s="13">
        <v>43691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SUMIF(tblJaneiro1214161820226[Categoria],Tabela31315171921238[[#This Row],[Categoria]],tblJaneiro1214161820226[Valor])</f>
        <v>0</v>
      </c>
      <c r="L16" s="13">
        <v>43692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SUMIF(tblJaneiro1214161820226[Categoria],Tabela31315171921238[[#This Row],[Categoria]],tblJaneiro1214161820226[Valor])</f>
        <v>0</v>
      </c>
      <c r="L17" s="13">
        <v>43693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SUMIF(tblJaneiro1214161820226[Categoria],Tabela31315171921238[[#This Row],[Categoria]],tblJaneiro1214161820226[Valor])</f>
        <v>0</v>
      </c>
      <c r="L18" s="13">
        <v>43694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SUBTOTAL(109,Tabela31315171921238[Total])</f>
        <v>0</v>
      </c>
      <c r="L19" s="13">
        <v>43695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43696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43697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43698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43699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43700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43701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43702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43703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43704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43705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43706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43707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43708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'2022'!$B$3:$B$19</xm:f>
          </x14:formula1>
          <xm:sqref>A2:A73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J72"/>
  <sheetViews>
    <sheetView workbookViewId="0">
      <selection activeCell="B5" sqref="B5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A2" t="s">
        <v>28</v>
      </c>
      <c r="B2" s="5">
        <v>0.9</v>
      </c>
      <c r="C2" s="7">
        <v>44820</v>
      </c>
      <c r="D2" s="5" t="s">
        <v>47</v>
      </c>
      <c r="E2" s="5"/>
      <c r="F2" s="5"/>
      <c r="G2" s="5"/>
      <c r="I2" t="s">
        <v>1</v>
      </c>
      <c r="J2" s="5">
        <f>SUMIF(tbl_setembro[Categoria],Tabela3131517192123824[[#This Row],[Categoria]],tbl_setembro[Valor])</f>
        <v>0</v>
      </c>
    </row>
    <row r="3" spans="1:10" x14ac:dyDescent="0.25">
      <c r="A3" t="s">
        <v>32</v>
      </c>
      <c r="B3" s="5">
        <v>8.77</v>
      </c>
      <c r="C3" s="7">
        <v>44820</v>
      </c>
      <c r="D3" s="5"/>
      <c r="E3" s="5"/>
      <c r="F3" s="5"/>
      <c r="G3" s="5"/>
      <c r="I3" t="s">
        <v>2</v>
      </c>
      <c r="J3" s="5">
        <f>SUMIF(tbl_setembro[Categoria],Tabela3131517192123824[[#This Row],[Categoria]],tbl_setembro[Valor])</f>
        <v>0</v>
      </c>
    </row>
    <row r="4" spans="1:10" x14ac:dyDescent="0.25">
      <c r="A4" t="s">
        <v>19</v>
      </c>
      <c r="B4" s="5">
        <v>80</v>
      </c>
      <c r="C4" s="7">
        <v>44820</v>
      </c>
      <c r="D4" s="5"/>
      <c r="E4" s="5"/>
      <c r="F4" s="5"/>
      <c r="G4" s="5"/>
      <c r="I4" t="s">
        <v>25</v>
      </c>
      <c r="J4" s="5">
        <f>SUMIF(tbl_setembro[Categoria],Tabela3131517192123824[[#This Row],[Categoria]],tbl_setembro[Valor])</f>
        <v>0</v>
      </c>
    </row>
    <row r="5" spans="1:10" x14ac:dyDescent="0.25">
      <c r="A5" t="s">
        <v>40</v>
      </c>
      <c r="B5" s="5">
        <v>9</v>
      </c>
      <c r="C5" s="7">
        <v>44821</v>
      </c>
      <c r="D5" s="5"/>
      <c r="E5" s="5"/>
      <c r="F5" s="5"/>
      <c r="G5" s="5"/>
      <c r="I5" t="s">
        <v>26</v>
      </c>
      <c r="J5" s="5">
        <f>SUMIF(tbl_setembro[Categoria],Tabela3131517192123824[[#This Row],[Categoria]],tbl_setembro[Valor])</f>
        <v>0</v>
      </c>
    </row>
    <row r="6" spans="1:10" x14ac:dyDescent="0.25">
      <c r="A6" t="s">
        <v>19</v>
      </c>
      <c r="B6" s="5">
        <v>40</v>
      </c>
      <c r="C6" s="7">
        <v>44822</v>
      </c>
      <c r="D6" s="5" t="s">
        <v>46</v>
      </c>
      <c r="E6" s="5"/>
      <c r="F6" s="5"/>
      <c r="G6" s="5"/>
      <c r="I6" t="s">
        <v>27</v>
      </c>
      <c r="J6" s="5">
        <f>SUMIF(tbl_setembro[Categoria],Tabela3131517192123824[[#This Row],[Categoria]],tbl_setembro[Valor])</f>
        <v>0</v>
      </c>
    </row>
    <row r="7" spans="1:10" x14ac:dyDescent="0.25">
      <c r="A7" t="s">
        <v>41</v>
      </c>
      <c r="B7" s="5">
        <v>0.17</v>
      </c>
      <c r="C7" s="7">
        <v>44823</v>
      </c>
      <c r="D7" s="5"/>
      <c r="E7" s="5"/>
      <c r="F7" s="5"/>
      <c r="G7" s="5"/>
      <c r="I7" t="s">
        <v>28</v>
      </c>
      <c r="J7" s="5">
        <f>SUMIF(tbl_setembro[Categoria],Tabela3131517192123824[[#This Row],[Categoria]],tbl_setembro[Valor])</f>
        <v>3.2</v>
      </c>
    </row>
    <row r="8" spans="1:10" x14ac:dyDescent="0.25">
      <c r="A8" t="s">
        <v>32</v>
      </c>
      <c r="B8" s="5">
        <v>18.239999999999998</v>
      </c>
      <c r="C8" s="7">
        <v>44823</v>
      </c>
      <c r="D8" s="5"/>
      <c r="E8" s="5"/>
      <c r="F8" s="5"/>
      <c r="G8" s="5"/>
      <c r="I8" t="s">
        <v>29</v>
      </c>
      <c r="J8" s="5">
        <f>SUMIF(tbl_setembro[Categoria],Tabela3131517192123824[[#This Row],[Categoria]],tbl_setembro[Valor])</f>
        <v>0</v>
      </c>
    </row>
    <row r="9" spans="1:10" x14ac:dyDescent="0.25">
      <c r="A9" t="s">
        <v>28</v>
      </c>
      <c r="B9" s="5">
        <v>1.3</v>
      </c>
      <c r="C9" s="7">
        <v>44823</v>
      </c>
      <c r="D9" s="5" t="s">
        <v>47</v>
      </c>
      <c r="E9" s="5"/>
      <c r="F9" s="5"/>
      <c r="G9" s="5"/>
      <c r="I9" t="s">
        <v>30</v>
      </c>
      <c r="J9" s="5">
        <f>SUMIF(tbl_setembro[Categoria],Tabela3131517192123824[[#This Row],[Categoria]],tbl_setembro[Valor])</f>
        <v>0</v>
      </c>
    </row>
    <row r="10" spans="1:10" x14ac:dyDescent="0.25">
      <c r="A10" t="s">
        <v>28</v>
      </c>
      <c r="B10" s="5">
        <v>1</v>
      </c>
      <c r="C10" s="7">
        <v>44823</v>
      </c>
      <c r="D10" s="5" t="s">
        <v>47</v>
      </c>
      <c r="E10" s="5"/>
      <c r="F10" s="5"/>
      <c r="G10" s="5"/>
      <c r="I10" t="s">
        <v>19</v>
      </c>
      <c r="J10" s="5">
        <f>SUMIF(tbl_setembro[Categoria],Tabela3131517192123824[[#This Row],[Categoria]],tbl_setembro[Valor])</f>
        <v>120</v>
      </c>
    </row>
    <row r="11" spans="1:10" x14ac:dyDescent="0.25">
      <c r="B11" s="5"/>
      <c r="C11" s="7"/>
      <c r="D11" s="5"/>
      <c r="E11" s="5"/>
      <c r="F11" s="5"/>
      <c r="G11" s="5"/>
      <c r="I11" t="s">
        <v>32</v>
      </c>
      <c r="J11" s="5">
        <f>SUMIF(tbl_setembro[Categoria],Tabela3131517192123824[[#This Row],[Categoria]],tbl_setembro[Valor])</f>
        <v>27.009999999999998</v>
      </c>
    </row>
    <row r="12" spans="1:10" x14ac:dyDescent="0.25">
      <c r="B12" s="5"/>
      <c r="C12" s="7"/>
      <c r="D12" s="5"/>
      <c r="E12" s="5"/>
      <c r="F12" s="5"/>
      <c r="G12" s="5"/>
      <c r="I12" t="s">
        <v>31</v>
      </c>
      <c r="J12" s="5">
        <f>SUMIF(tbl_setembro[Categoria],Tabela3131517192123824[[#This Row],[Categoria]],tbl_setembro[Valor])</f>
        <v>0</v>
      </c>
    </row>
    <row r="13" spans="1:10" x14ac:dyDescent="0.25">
      <c r="B13" s="5"/>
      <c r="C13" s="7"/>
      <c r="D13" s="5"/>
      <c r="E13" s="5"/>
      <c r="F13" s="5"/>
      <c r="G13" s="5"/>
      <c r="I13" t="s">
        <v>37</v>
      </c>
      <c r="J13" s="5">
        <f>SUMIF(tbl_setembro[Categoria],Tabela3131517192123824[[#This Row],[Categoria]],tbl_setembro[Valor])</f>
        <v>0</v>
      </c>
    </row>
    <row r="14" spans="1:10" x14ac:dyDescent="0.25">
      <c r="B14" s="5"/>
      <c r="C14" s="7"/>
      <c r="D14" s="5"/>
      <c r="E14" s="5"/>
      <c r="F14" s="5"/>
      <c r="G14" s="5"/>
      <c r="I14" t="s">
        <v>38</v>
      </c>
      <c r="J14" s="5">
        <f>SUMIF(tbl_setembro[Categoria],Tabela3131517192123824[[#This Row],[Categoria]],tbl_setembro[Valor])</f>
        <v>0</v>
      </c>
    </row>
    <row r="15" spans="1:10" x14ac:dyDescent="0.25">
      <c r="B15" s="5"/>
      <c r="C15" s="7"/>
      <c r="D15" s="5"/>
      <c r="E15" s="5"/>
      <c r="F15" s="5"/>
      <c r="G15" s="5"/>
      <c r="I15" t="s">
        <v>39</v>
      </c>
      <c r="J15" s="5">
        <f>SUMIF(tbl_setembro[Categoria],Tabela3131517192123824[[#This Row],[Categoria]],tbl_setembro[Valor])</f>
        <v>0</v>
      </c>
    </row>
    <row r="16" spans="1:10" x14ac:dyDescent="0.25">
      <c r="B16" s="5"/>
      <c r="C16" s="7"/>
      <c r="D16" s="5"/>
      <c r="E16" s="5"/>
      <c r="F16" s="5"/>
      <c r="G16" s="5"/>
      <c r="I16" t="s">
        <v>40</v>
      </c>
      <c r="J16" s="5">
        <f>SUMIF(tbl_setembro[Categoria],Tabela3131517192123824[[#This Row],[Categoria]],tbl_setembro[Valor])</f>
        <v>9</v>
      </c>
    </row>
    <row r="17" spans="2:10" x14ac:dyDescent="0.25">
      <c r="B17" s="5"/>
      <c r="C17" s="7"/>
      <c r="D17" s="5"/>
      <c r="E17" s="5"/>
      <c r="F17" s="5"/>
      <c r="G17" s="5"/>
      <c r="I17" t="s">
        <v>41</v>
      </c>
      <c r="J17" s="5">
        <f>SUMIF(tbl_setembro[Categoria],Tabela3131517192123824[[#This Row],[Categoria]],tbl_setembro[Valor])</f>
        <v>0.17</v>
      </c>
    </row>
    <row r="18" spans="2:10" x14ac:dyDescent="0.25">
      <c r="B18" s="5"/>
      <c r="C18" s="7"/>
      <c r="D18" s="5"/>
      <c r="E18" s="5"/>
      <c r="F18" s="5"/>
      <c r="G18" s="5"/>
      <c r="I18" t="s">
        <v>42</v>
      </c>
      <c r="J18" s="5">
        <f>SUMIF(tbl_setembro[Categoria],Tabela3131517192123824[[#This Row],[Categoria]],tbl_setembro[Valor])</f>
        <v>0</v>
      </c>
    </row>
    <row r="19" spans="2:10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SUBTOTAL(109,Tabela3131517192123824[Total])</f>
        <v>159.38</v>
      </c>
    </row>
    <row r="20" spans="2:10" x14ac:dyDescent="0.25">
      <c r="B20" s="5"/>
      <c r="C20" s="7"/>
      <c r="D20" s="5"/>
      <c r="E20" s="5"/>
      <c r="F20" s="5"/>
      <c r="G20" s="5"/>
    </row>
    <row r="21" spans="2:10" x14ac:dyDescent="0.25">
      <c r="B21" s="5"/>
      <c r="C21" s="7"/>
      <c r="D21" s="5"/>
      <c r="E21" s="5"/>
      <c r="F21" s="5"/>
      <c r="G21" s="5"/>
    </row>
    <row r="22" spans="2:10" x14ac:dyDescent="0.25">
      <c r="B22" s="5"/>
      <c r="C22" s="7"/>
      <c r="D22" s="5"/>
      <c r="E22" s="5"/>
      <c r="F22" s="5"/>
      <c r="G22" s="5"/>
    </row>
    <row r="23" spans="2:10" x14ac:dyDescent="0.25">
      <c r="B23" s="5"/>
      <c r="C23" s="7"/>
      <c r="D23" s="5"/>
      <c r="E23" s="5"/>
      <c r="F23" s="5"/>
      <c r="G23" s="5"/>
    </row>
    <row r="24" spans="2:10" x14ac:dyDescent="0.25">
      <c r="B24" s="5"/>
      <c r="C24" s="7"/>
      <c r="D24" s="5"/>
      <c r="E24" s="5"/>
      <c r="F24" s="5"/>
      <c r="G24" s="5"/>
    </row>
    <row r="25" spans="2:10" x14ac:dyDescent="0.25">
      <c r="B25" s="5"/>
      <c r="C25" s="7"/>
      <c r="D25" s="5"/>
      <c r="E25" s="5"/>
      <c r="F25" s="5"/>
      <c r="G25" s="5"/>
    </row>
    <row r="26" spans="2:10" x14ac:dyDescent="0.25">
      <c r="B26" s="5"/>
      <c r="C26" s="7"/>
      <c r="D26" s="5"/>
      <c r="E26" s="5"/>
      <c r="F26" s="5"/>
      <c r="G26" s="5"/>
    </row>
    <row r="27" spans="2:10" x14ac:dyDescent="0.25">
      <c r="B27" s="5"/>
      <c r="C27" s="7"/>
      <c r="D27" s="5"/>
      <c r="E27" s="5"/>
      <c r="F27" s="5"/>
      <c r="G27" s="5"/>
    </row>
    <row r="28" spans="2:10" x14ac:dyDescent="0.25">
      <c r="B28" s="5"/>
      <c r="C28" s="7"/>
      <c r="D28" s="5"/>
      <c r="E28" s="5"/>
      <c r="F28" s="5"/>
      <c r="G28" s="5"/>
    </row>
    <row r="29" spans="2:10" x14ac:dyDescent="0.25">
      <c r="B29" s="5"/>
      <c r="C29" s="7"/>
      <c r="D29" s="5"/>
      <c r="E29" s="5"/>
      <c r="F29" s="5"/>
      <c r="G29" s="5"/>
    </row>
    <row r="30" spans="2:10" x14ac:dyDescent="0.25">
      <c r="B30" s="5"/>
      <c r="C30" s="7"/>
      <c r="D30" s="5"/>
      <c r="E30" s="5"/>
      <c r="F30" s="5"/>
      <c r="G30" s="5"/>
    </row>
    <row r="31" spans="2:10" x14ac:dyDescent="0.25">
      <c r="B31" s="5"/>
      <c r="C31" s="7"/>
      <c r="D31" s="5"/>
      <c r="E31" s="5"/>
      <c r="F31" s="5"/>
      <c r="G31" s="5"/>
    </row>
    <row r="32" spans="2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M72"/>
  <sheetViews>
    <sheetView workbookViewId="0">
      <selection activeCell="D16" sqref="D16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SUMIF(tblJaneiro1214161820226925[Categoria],Tabela313151719212382426[[#This Row],[Categoria]],tblJaneiro1214161820226925[Valor])</f>
        <v>0</v>
      </c>
      <c r="L2" s="13">
        <v>43739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SUMIF(tblJaneiro1214161820226925[Categoria],Tabela313151719212382426[[#This Row],[Categoria]],tblJaneiro1214161820226925[Valor])</f>
        <v>0</v>
      </c>
      <c r="L3" s="13">
        <v>43740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SUMIF(tblJaneiro1214161820226925[Categoria],Tabela313151719212382426[[#This Row],[Categoria]],tblJaneiro1214161820226925[Valor])</f>
        <v>0</v>
      </c>
      <c r="L4" s="13">
        <v>43741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SUMIF(tblJaneiro1214161820226925[Categoria],Tabela313151719212382426[[#This Row],[Categoria]],tblJaneiro1214161820226925[Valor])</f>
        <v>0</v>
      </c>
      <c r="L5" s="13">
        <v>43742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SUMIF(tblJaneiro1214161820226925[Categoria],Tabela313151719212382426[[#This Row],[Categoria]],tblJaneiro1214161820226925[Valor])</f>
        <v>0</v>
      </c>
      <c r="L6" s="13">
        <v>43743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SUMIF(tblJaneiro1214161820226925[Categoria],Tabela313151719212382426[[#This Row],[Categoria]],tblJaneiro1214161820226925[Valor])</f>
        <v>0</v>
      </c>
      <c r="L7" s="13">
        <v>43744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SUMIF(tblJaneiro1214161820226925[Categoria],Tabela313151719212382426[[#This Row],[Categoria]],tblJaneiro1214161820226925[Valor])</f>
        <v>0</v>
      </c>
      <c r="L8" s="13">
        <v>43745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SUMIF(tblJaneiro1214161820226925[Categoria],Tabela313151719212382426[[#This Row],[Categoria]],tblJaneiro1214161820226925[Valor])</f>
        <v>0</v>
      </c>
      <c r="L9" s="13">
        <v>43746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SUMIF(tblJaneiro1214161820226925[Categoria],Tabela313151719212382426[[#This Row],[Categoria]],tblJaneiro1214161820226925[Valor])</f>
        <v>0</v>
      </c>
      <c r="L10" s="13">
        <v>43747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SUMIF(tblJaneiro1214161820226925[Categoria],Tabela313151719212382426[[#This Row],[Categoria]],tblJaneiro1214161820226925[Valor])</f>
        <v>0</v>
      </c>
      <c r="L11" s="13">
        <v>43748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SUMIF(tblJaneiro1214161820226925[Categoria],Tabela313151719212382426[[#This Row],[Categoria]],tblJaneiro1214161820226925[Valor])</f>
        <v>0</v>
      </c>
      <c r="L12" s="13">
        <v>43749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SUMIF(tblJaneiro1214161820226925[Categoria],Tabela313151719212382426[[#This Row],[Categoria]],tblJaneiro1214161820226925[Valor])</f>
        <v>0</v>
      </c>
      <c r="L13" s="13">
        <v>43750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SUMIF(tblJaneiro1214161820226925[Categoria],Tabela313151719212382426[[#This Row],[Categoria]],tblJaneiro1214161820226925[Valor])</f>
        <v>0</v>
      </c>
      <c r="L14" s="13">
        <v>43751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SUMIF(tblJaneiro1214161820226925[Categoria],Tabela313151719212382426[[#This Row],[Categoria]],tblJaneiro1214161820226925[Valor])</f>
        <v>0</v>
      </c>
      <c r="L15" s="13">
        <v>43752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SUMIF(tblJaneiro1214161820226925[Categoria],Tabela313151719212382426[[#This Row],[Categoria]],tblJaneiro1214161820226925[Valor])</f>
        <v>0</v>
      </c>
      <c r="L16" s="13">
        <v>43753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SUMIF(tblJaneiro1214161820226925[Categoria],Tabela313151719212382426[[#This Row],[Categoria]],tblJaneiro1214161820226925[Valor])</f>
        <v>0</v>
      </c>
      <c r="L17" s="13">
        <v>43754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SUMIF(tblJaneiro1214161820226925[Categoria],Tabela313151719212382426[[#This Row],[Categoria]],tblJaneiro1214161820226925[Valor])</f>
        <v>0</v>
      </c>
      <c r="L18" s="13">
        <v>43755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SUBTOTAL(109,Tabela313151719212382426[Total])</f>
        <v>0</v>
      </c>
      <c r="L19" s="13">
        <v>43756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43757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43758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43759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43760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43761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43762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43763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43764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43765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43766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43767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43768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43769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J72"/>
  <sheetViews>
    <sheetView workbookViewId="0">
      <selection activeCell="L1" sqref="L1:M1048576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SUMIF(tblJaneiro121416182022692527[Categoria],Tabela31315171921238242628[[#This Row],[Categoria]],tblJaneiro121416182022692527[Valor])</f>
        <v>0</v>
      </c>
    </row>
    <row r="3" spans="1:10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SUMIF(tblJaneiro121416182022692527[Categoria],Tabela31315171921238242628[[#This Row],[Categoria]],tblJaneiro121416182022692527[Valor])</f>
        <v>0</v>
      </c>
    </row>
    <row r="4" spans="1:10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SUMIF(tblJaneiro121416182022692527[Categoria],Tabela31315171921238242628[[#This Row],[Categoria]],tblJaneiro121416182022692527[Valor])</f>
        <v>0</v>
      </c>
    </row>
    <row r="5" spans="1:10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SUMIF(tblJaneiro121416182022692527[Categoria],Tabela31315171921238242628[[#This Row],[Categoria]],tblJaneiro121416182022692527[Valor])</f>
        <v>0</v>
      </c>
    </row>
    <row r="6" spans="1:10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SUMIF(tblJaneiro121416182022692527[Categoria],Tabela31315171921238242628[[#This Row],[Categoria]],tblJaneiro121416182022692527[Valor])</f>
        <v>0</v>
      </c>
    </row>
    <row r="7" spans="1:10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SUMIF(tblJaneiro121416182022692527[Categoria],Tabela31315171921238242628[[#This Row],[Categoria]],tblJaneiro121416182022692527[Valor])</f>
        <v>0</v>
      </c>
    </row>
    <row r="8" spans="1:10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SUMIF(tblJaneiro121416182022692527[Categoria],Tabela31315171921238242628[[#This Row],[Categoria]],tblJaneiro121416182022692527[Valor])</f>
        <v>0</v>
      </c>
    </row>
    <row r="9" spans="1:10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SUMIF(tblJaneiro121416182022692527[Categoria],Tabela31315171921238242628[[#This Row],[Categoria]],tblJaneiro121416182022692527[Valor])</f>
        <v>0</v>
      </c>
    </row>
    <row r="10" spans="1:10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SUMIF(tblJaneiro121416182022692527[Categoria],Tabela31315171921238242628[[#This Row],[Categoria]],tblJaneiro121416182022692527[Valor])</f>
        <v>0</v>
      </c>
    </row>
    <row r="11" spans="1:10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SUMIF(tblJaneiro121416182022692527[Categoria],Tabela31315171921238242628[[#This Row],[Categoria]],tblJaneiro121416182022692527[Valor])</f>
        <v>0</v>
      </c>
    </row>
    <row r="12" spans="1:10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SUMIF(tblJaneiro121416182022692527[Categoria],Tabela31315171921238242628[[#This Row],[Categoria]],tblJaneiro121416182022692527[Valor])</f>
        <v>0</v>
      </c>
    </row>
    <row r="13" spans="1:10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SUMIF(tblJaneiro121416182022692527[Categoria],Tabela31315171921238242628[[#This Row],[Categoria]],tblJaneiro121416182022692527[Valor])</f>
        <v>0</v>
      </c>
    </row>
    <row r="14" spans="1:10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SUMIF(tblJaneiro121416182022692527[Categoria],Tabela31315171921238242628[[#This Row],[Categoria]],tblJaneiro121416182022692527[Valor])</f>
        <v>0</v>
      </c>
    </row>
    <row r="15" spans="1:10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SUMIF(tblJaneiro121416182022692527[Categoria],Tabela31315171921238242628[[#This Row],[Categoria]],tblJaneiro121416182022692527[Valor])</f>
        <v>0</v>
      </c>
    </row>
    <row r="16" spans="1:10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SUMIF(tblJaneiro121416182022692527[Categoria],Tabela31315171921238242628[[#This Row],[Categoria]],tblJaneiro121416182022692527[Valor])</f>
        <v>0</v>
      </c>
    </row>
    <row r="17" spans="2:10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SUMIF(tblJaneiro121416182022692527[Categoria],Tabela31315171921238242628[[#This Row],[Categoria]],tblJaneiro121416182022692527[Valor])</f>
        <v>0</v>
      </c>
    </row>
    <row r="18" spans="2:10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SUMIF(tblJaneiro121416182022692527[Categoria],Tabela31315171921238242628[[#This Row],[Categoria]],tblJaneiro121416182022692527[Valor])</f>
        <v>0</v>
      </c>
    </row>
    <row r="19" spans="2:10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SUBTOTAL(109,Tabela31315171921238242628[Total])</f>
        <v>0</v>
      </c>
    </row>
    <row r="20" spans="2:10" x14ac:dyDescent="0.25">
      <c r="B20" s="5"/>
      <c r="C20" s="7"/>
      <c r="D20" s="5"/>
      <c r="E20" s="5"/>
      <c r="F20" s="5"/>
      <c r="G20" s="5"/>
    </row>
    <row r="21" spans="2:10" x14ac:dyDescent="0.25">
      <c r="B21" s="5"/>
      <c r="C21" s="7"/>
      <c r="D21" s="5"/>
      <c r="E21" s="5"/>
      <c r="F21" s="5"/>
      <c r="G21" s="5"/>
    </row>
    <row r="22" spans="2:10" x14ac:dyDescent="0.25">
      <c r="B22" s="5"/>
      <c r="C22" s="7"/>
      <c r="D22" s="5"/>
      <c r="E22" s="5"/>
      <c r="F22" s="5"/>
      <c r="G22" s="5"/>
    </row>
    <row r="23" spans="2:10" x14ac:dyDescent="0.25">
      <c r="B23" s="5"/>
      <c r="C23" s="7"/>
      <c r="D23" s="5"/>
      <c r="E23" s="5"/>
      <c r="F23" s="5"/>
      <c r="G23" s="5"/>
    </row>
    <row r="24" spans="2:10" x14ac:dyDescent="0.25">
      <c r="B24" s="5"/>
      <c r="C24" s="7"/>
      <c r="D24" s="5"/>
      <c r="E24" s="5"/>
      <c r="F24" s="5"/>
      <c r="G24" s="5"/>
    </row>
    <row r="25" spans="2:10" x14ac:dyDescent="0.25">
      <c r="B25" s="5"/>
      <c r="C25" s="7"/>
      <c r="D25" s="7"/>
      <c r="E25" s="5"/>
      <c r="F25" s="5"/>
      <c r="G25" s="5"/>
    </row>
    <row r="26" spans="2:10" x14ac:dyDescent="0.25">
      <c r="B26" s="5"/>
      <c r="C26" s="7"/>
      <c r="D26" s="5"/>
      <c r="E26" s="5"/>
      <c r="F26" s="5"/>
      <c r="G26" s="5"/>
    </row>
    <row r="27" spans="2:10" x14ac:dyDescent="0.25">
      <c r="B27" s="5"/>
      <c r="C27" s="7"/>
      <c r="D27" s="5"/>
      <c r="E27" s="5"/>
      <c r="F27" s="5"/>
      <c r="G27" s="5"/>
    </row>
    <row r="28" spans="2:10" x14ac:dyDescent="0.25">
      <c r="B28" s="5"/>
      <c r="C28" s="7"/>
      <c r="D28" s="5"/>
      <c r="E28" s="5"/>
      <c r="F28" s="5"/>
      <c r="G28" s="5"/>
    </row>
    <row r="29" spans="2:10" x14ac:dyDescent="0.25">
      <c r="B29" s="11"/>
      <c r="C29" s="7"/>
      <c r="D29" s="7"/>
      <c r="E29" s="5"/>
      <c r="F29" s="5"/>
      <c r="G29" s="5"/>
    </row>
    <row r="30" spans="2:10" x14ac:dyDescent="0.25">
      <c r="B30" s="5"/>
      <c r="C30" s="7"/>
      <c r="D30" s="5"/>
      <c r="E30" s="5"/>
      <c r="F30" s="5"/>
      <c r="G30" s="5"/>
    </row>
    <row r="31" spans="2:10" x14ac:dyDescent="0.25">
      <c r="B31" s="5"/>
      <c r="C31" s="7"/>
      <c r="D31" s="5"/>
      <c r="E31" s="5"/>
      <c r="F31" s="5"/>
      <c r="G31" s="5"/>
    </row>
    <row r="32" spans="2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5"/>
      <c r="C34" s="7"/>
      <c r="D34" s="5"/>
      <c r="E34" s="5"/>
      <c r="F34" s="5"/>
      <c r="G34" s="5"/>
    </row>
    <row r="35" spans="2:7" x14ac:dyDescent="0.25">
      <c r="B35" s="5"/>
      <c r="C35" s="7"/>
      <c r="D35" s="5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J72"/>
  <sheetViews>
    <sheetView workbookViewId="0">
      <selection activeCell="L12" sqref="L1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SUMIF(tblJaneiro12141618202269252729[Categoria],Tabela3131517192123824262830[[#This Row],[Categoria]],tblJaneiro12141618202269252729[Valor])</f>
        <v>0</v>
      </c>
    </row>
    <row r="3" spans="1:10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SUMIF(tblJaneiro12141618202269252729[Categoria],Tabela3131517192123824262830[[#This Row],[Categoria]],tblJaneiro12141618202269252729[Valor])</f>
        <v>0</v>
      </c>
    </row>
    <row r="4" spans="1:10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SUMIF(tblJaneiro12141618202269252729[Categoria],Tabela3131517192123824262830[[#This Row],[Categoria]],tblJaneiro12141618202269252729[Valor])</f>
        <v>0</v>
      </c>
    </row>
    <row r="5" spans="1:10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SUMIF(tblJaneiro12141618202269252729[Categoria],Tabela3131517192123824262830[[#This Row],[Categoria]],tblJaneiro12141618202269252729[Valor])</f>
        <v>0</v>
      </c>
    </row>
    <row r="6" spans="1:10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SUMIF(tblJaneiro12141618202269252729[Categoria],Tabela3131517192123824262830[[#This Row],[Categoria]],tblJaneiro12141618202269252729[Valor])</f>
        <v>0</v>
      </c>
    </row>
    <row r="7" spans="1:10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SUMIF(tblJaneiro12141618202269252729[Categoria],Tabela3131517192123824262830[[#This Row],[Categoria]],tblJaneiro12141618202269252729[Valor])</f>
        <v>0</v>
      </c>
    </row>
    <row r="8" spans="1:10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SUMIF(tblJaneiro12141618202269252729[Categoria],Tabela3131517192123824262830[[#This Row],[Categoria]],tblJaneiro12141618202269252729[Valor])</f>
        <v>0</v>
      </c>
    </row>
    <row r="9" spans="1:10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SUMIF(tblJaneiro12141618202269252729[Categoria],Tabela3131517192123824262830[[#This Row],[Categoria]],tblJaneiro12141618202269252729[Valor])</f>
        <v>0</v>
      </c>
    </row>
    <row r="10" spans="1:10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SUMIF(tblJaneiro12141618202269252729[Categoria],Tabela3131517192123824262830[[#This Row],[Categoria]],tblJaneiro12141618202269252729[Valor])</f>
        <v>0</v>
      </c>
    </row>
    <row r="11" spans="1:10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SUMIF(tblJaneiro12141618202269252729[Categoria],Tabela3131517192123824262830[[#This Row],[Categoria]],tblJaneiro12141618202269252729[Valor])</f>
        <v>0</v>
      </c>
    </row>
    <row r="12" spans="1:10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SUMIF(tblJaneiro12141618202269252729[Categoria],Tabela3131517192123824262830[[#This Row],[Categoria]],tblJaneiro12141618202269252729[Valor])</f>
        <v>0</v>
      </c>
    </row>
    <row r="13" spans="1:10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SUMIF(tblJaneiro12141618202269252729[Categoria],Tabela3131517192123824262830[[#This Row],[Categoria]],tblJaneiro12141618202269252729[Valor])</f>
        <v>0</v>
      </c>
    </row>
    <row r="14" spans="1:10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SUMIF(tblJaneiro12141618202269252729[Categoria],Tabela3131517192123824262830[[#This Row],[Categoria]],tblJaneiro12141618202269252729[Valor])</f>
        <v>0</v>
      </c>
    </row>
    <row r="15" spans="1:10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SUMIF(tblJaneiro12141618202269252729[Categoria],Tabela3131517192123824262830[[#This Row],[Categoria]],tblJaneiro12141618202269252729[Valor])</f>
        <v>0</v>
      </c>
    </row>
    <row r="16" spans="1:10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SUMIF(tblJaneiro12141618202269252729[Categoria],Tabela3131517192123824262830[[#This Row],[Categoria]],tblJaneiro12141618202269252729[Valor])</f>
        <v>0</v>
      </c>
    </row>
    <row r="17" spans="2:10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SUMIF(tblJaneiro12141618202269252729[Categoria],Tabela3131517192123824262830[[#This Row],[Categoria]],tblJaneiro12141618202269252729[Valor])</f>
        <v>0</v>
      </c>
    </row>
    <row r="18" spans="2:10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SUMIF(tblJaneiro12141618202269252729[Categoria],Tabela3131517192123824262830[[#This Row],[Categoria]],tblJaneiro12141618202269252729[Valor])</f>
        <v>0</v>
      </c>
    </row>
    <row r="19" spans="2:10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SUBTOTAL(109,Tabela3131517192123824262830[Total])</f>
        <v>0</v>
      </c>
    </row>
    <row r="20" spans="2:10" x14ac:dyDescent="0.25">
      <c r="B20" s="5"/>
      <c r="C20" s="7"/>
      <c r="D20" s="5"/>
      <c r="E20" s="5"/>
      <c r="F20" s="5"/>
      <c r="G20" s="5"/>
    </row>
    <row r="21" spans="2:10" x14ac:dyDescent="0.25">
      <c r="B21" s="5"/>
      <c r="C21" s="7"/>
      <c r="D21" s="5"/>
      <c r="E21" s="5"/>
      <c r="F21" s="5"/>
      <c r="G21" s="5"/>
    </row>
    <row r="22" spans="2:10" x14ac:dyDescent="0.25">
      <c r="B22" s="5"/>
      <c r="C22" s="7"/>
      <c r="D22" s="5"/>
      <c r="E22" s="5"/>
      <c r="F22" s="5"/>
      <c r="G22" s="5"/>
    </row>
    <row r="23" spans="2:10" x14ac:dyDescent="0.25">
      <c r="B23" s="5"/>
      <c r="C23" s="7"/>
      <c r="D23" s="5"/>
      <c r="E23" s="5"/>
      <c r="F23" s="5"/>
      <c r="G23" s="5"/>
    </row>
    <row r="24" spans="2:10" x14ac:dyDescent="0.25">
      <c r="B24" s="5"/>
      <c r="C24" s="7"/>
      <c r="D24" s="5"/>
      <c r="E24" s="5"/>
      <c r="F24" s="5"/>
      <c r="G24" s="5"/>
    </row>
    <row r="25" spans="2:10" x14ac:dyDescent="0.25">
      <c r="B25" s="5"/>
      <c r="C25" s="7"/>
      <c r="D25" s="7"/>
      <c r="E25" s="5"/>
      <c r="F25" s="5"/>
      <c r="G25" s="5"/>
    </row>
    <row r="26" spans="2:10" x14ac:dyDescent="0.25">
      <c r="B26" s="5"/>
      <c r="C26" s="7"/>
      <c r="D26" s="5"/>
      <c r="E26" s="5"/>
      <c r="F26" s="5"/>
      <c r="G26" s="5"/>
    </row>
    <row r="27" spans="2:10" x14ac:dyDescent="0.25">
      <c r="B27" s="5"/>
      <c r="C27" s="7"/>
      <c r="D27" s="5"/>
      <c r="E27" s="5"/>
      <c r="F27" s="5"/>
      <c r="G27" s="5"/>
    </row>
    <row r="28" spans="2:10" x14ac:dyDescent="0.25">
      <c r="B28" s="5"/>
      <c r="C28" s="7"/>
      <c r="D28" s="5"/>
      <c r="E28" s="5"/>
      <c r="F28" s="5"/>
      <c r="G28" s="5"/>
    </row>
    <row r="29" spans="2:10" x14ac:dyDescent="0.25">
      <c r="B29" s="11"/>
      <c r="C29" s="7"/>
      <c r="D29" s="7"/>
      <c r="E29" s="5"/>
      <c r="F29" s="5"/>
      <c r="G29" s="5"/>
    </row>
    <row r="30" spans="2:10" x14ac:dyDescent="0.25">
      <c r="B30" s="5"/>
      <c r="C30" s="7"/>
      <c r="D30" s="5"/>
      <c r="E30" s="5"/>
      <c r="F30" s="5"/>
      <c r="G30" s="5"/>
    </row>
    <row r="31" spans="2:10" x14ac:dyDescent="0.25">
      <c r="B31" s="5"/>
      <c r="C31" s="7"/>
      <c r="D31" s="5"/>
      <c r="E31" s="5"/>
      <c r="F31" s="5"/>
      <c r="G31" s="5"/>
    </row>
    <row r="32" spans="2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5"/>
      <c r="C34" s="7"/>
      <c r="D34" s="5"/>
      <c r="E34" s="5"/>
      <c r="F34" s="5"/>
      <c r="G34" s="5"/>
    </row>
    <row r="35" spans="2:7" x14ac:dyDescent="0.25">
      <c r="B35" s="5"/>
      <c r="C35" s="7"/>
      <c r="D35" s="5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'2022'!$B$3:$B$19</xm:f>
          </x14:formula1>
          <xm:sqref>A2:A72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2022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Alves</dc:creator>
  <cp:lastModifiedBy>Alves, Luis</cp:lastModifiedBy>
  <dcterms:created xsi:type="dcterms:W3CDTF">2012-05-27T21:47:25Z</dcterms:created>
  <dcterms:modified xsi:type="dcterms:W3CDTF">2022-09-19T12:39:35Z</dcterms:modified>
</cp:coreProperties>
</file>