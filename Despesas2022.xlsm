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196F9B09-6789-4587-927C-C9D634F7BF7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definedNames>
    <definedName name="_xlchart.v1.0" hidden="1">'2022'!$B$3:$B$20</definedName>
    <definedName name="_xlchart.v1.1" hidden="1">'2022'!$O$2</definedName>
    <definedName name="_xlchart.v1.2" hidden="1">'2022'!$O$3:$O$20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<sst xmlns="http://schemas.openxmlformats.org/spreadsheetml/2006/main" count="418" uniqueCount="52">
  <si>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</si>
  <si>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</si>
  <si>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</si>
  <si>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</si>
  <si>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</si>
  <si>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</si>
  <si>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</si>
  <si>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</si>
  <si>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</si>
  <si>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</si>
  <si>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</si>
  <si>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</si>
  <si>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</si>
  <si>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</si>
  <si>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</si>
  <si>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</si>
  <si>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</si>
  <si>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</si>
  <si>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</si>
  <si>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</si>
  <si>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</si>
  <si>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</si>
  <si>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</si>
  <si>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</si>
  <si>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</si>
  <si>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</si>
  <si>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</si>
  <si>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</si>
  <si>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</si>
  <si>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</si>
  <si>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</si>
  <si>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</si>
  <si>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</si>
  <si>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</si>
  <si>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</si>
  <si>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</si>
  <si>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</si>
  <si>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</si>
  <si>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</si>
  <si>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</si>
  <si>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</si>
  <si>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</si>
  <si>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</si>
  <si>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</si>
  <si>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</si>
  <si>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</si>
  <si>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</si>
  <si>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</si>
  <si>
    <t>Férias</t>
  </si>
  <si>
    <t>Faculdade</t>
  </si>
  <si>
    <t>Euromilhões</t>
  </si>
  <si>
    <t>wells - liquido para as lentes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</si>
</sst>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6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9.1000000000000014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Férias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Faculdade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140.94999999999999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55.860000000000007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10.44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242.87</c:v>
                </c:pt>
                <c:pt idx="9">
                  <c:v>242.87</c:v>
                </c:pt>
                <c:pt idx="10">
                  <c:v>242.87</c:v>
                </c:pt>
                <c:pt idx="11">
                  <c:v>242.87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Total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</a:rPr>
            <a:t>Total</a:t>
          </a:r>
        </a:p>
      </cx:txPr>
    </cx:title>
    <cx:plotArea>
      <cx:plotAreaRegion>
        <cx:series layoutId="sunburst" uniqueId="{7DA2EB92-AE66-4714-9777-E7F790F823D7}">
          <cx:tx>
            <cx:txData>
              <cx:f>_xlchart.v1.1</cx:f>
              <cx:v>Total</cx:v>
            </cx:txData>
          </cx:tx>
          <cx:dataLabels pos="ctr">
            <cx:visibility seriesName="0" categoryName="1" value="1"/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8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</xdr:colOff>
      <xdr:row>1</xdr:row>
      <xdr:rowOff>0</xdr:rowOff>
    </xdr:from>
    <xdr:to>
      <xdr:col>35</xdr:col>
      <xdr:colOff>0</xdr:colOff>
      <xdr:row>44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6" y="333375"/>
              <a:ext cx="10829924" cy="833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4" dataDxfId="173" totalsRowDxfId="172">
  <tableColumns count="15">
    <tableColumn id="1" xr3:uid="{00000000-0010-0000-0000-000001000000}" name="Categoria" totalsRowLabel="Total" data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K20" sqref="K20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9.1000000000000014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9.1000000000000014</v>
      </c>
      <c r="P8" s="4"/>
    </row>
    <row r="9" spans="2:16" x14ac:dyDescent="0.25">
      <c r="B9" t="s">
        <v>48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49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140.94999999999999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140.94999999999999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55.860000000000007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55.860000000000007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12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12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10.44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10.44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17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17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0.47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0.47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245.82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245.82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242.87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242.87</v>
      </c>
      <c r="L23" s="1">
        <f t="shared" si="0"/>
        <v>242.87</v>
      </c>
      <c r="M23" s="1">
        <f t="shared" si="0"/>
        <v>242.87</v>
      </c>
      <c r="N23" s="1">
        <f t="shared" si="0"/>
        <v>242.87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N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C30" sqref="C30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45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0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44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43</v>
      </c>
      <c r="J6" s="5">
        <f>SUMIF(tbl_setembro[Categoria],Tabela3131517192123824[[#This Row],[Categoria]],tbl_setembro[Valor])</f>
        <v>0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9.1000000000000014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48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49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140.94999999999999</v>
      </c>
    </row>
    <row r="11" spans="1:10" x14ac:dyDescent="0.25">
      <c r="A11" t="s">
        <v>32</v>
      </c>
      <c r="B11" s="5">
        <v>5.38</v>
      </c>
      <c r="C11" s="7">
        <v>44823</v>
      </c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55.860000000000007</v>
      </c>
    </row>
    <row r="12" spans="1:10" x14ac:dyDescent="0.25">
      <c r="A12" t="s">
        <v>41</v>
      </c>
      <c r="B12" s="5">
        <v>0.08</v>
      </c>
      <c r="C12" s="7">
        <v>44824</v>
      </c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12</v>
      </c>
    </row>
    <row r="13" spans="1:10" x14ac:dyDescent="0.25">
      <c r="A13" t="s">
        <v>28</v>
      </c>
      <c r="B13" s="5">
        <v>1.3</v>
      </c>
      <c r="C13" s="7">
        <v>44824</v>
      </c>
      <c r="D13" s="5" t="s">
        <v>47</v>
      </c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A14" t="s">
        <v>28</v>
      </c>
      <c r="B14" s="5">
        <v>0.9</v>
      </c>
      <c r="C14" s="7">
        <v>44824</v>
      </c>
      <c r="D14" s="5" t="s">
        <v>47</v>
      </c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A15" t="s">
        <v>32</v>
      </c>
      <c r="B15" s="5">
        <v>6.53</v>
      </c>
      <c r="C15" s="7">
        <v>44824</v>
      </c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10.44</v>
      </c>
    </row>
    <row r="16" spans="1:10" x14ac:dyDescent="0.25">
      <c r="A16" t="s">
        <v>19</v>
      </c>
      <c r="B16" s="5">
        <v>10</v>
      </c>
      <c r="C16" s="7">
        <v>44825</v>
      </c>
      <c r="D16" s="5" t="s">
        <v>50</v>
      </c>
      <c r="E16" s="5"/>
      <c r="F16" s="5"/>
      <c r="G16" s="5"/>
      <c r="I16" t="s">
        <v>40</v>
      </c>
      <c r="J16" s="5">
        <f>SUMIF(tbl_setembro[Categoria],Tabela3131517192123824[[#This Row],[Categoria]],tbl_setembro[Valor])</f>
        <v>17</v>
      </c>
    </row>
    <row r="17" spans="1:10" x14ac:dyDescent="0.25">
      <c r="A17" t="s">
        <v>28</v>
      </c>
      <c r="B17" s="5">
        <v>0.9</v>
      </c>
      <c r="C17" s="7">
        <v>44825</v>
      </c>
      <c r="D17" s="5" t="s">
        <v>47</v>
      </c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0.47</v>
      </c>
    </row>
    <row r="18" spans="1:10" x14ac:dyDescent="0.25">
      <c r="A18" t="s">
        <v>28</v>
      </c>
      <c r="B18" s="5">
        <v>0.9</v>
      </c>
      <c r="C18" s="7">
        <v>44825</v>
      </c>
      <c r="D18" s="5" t="s">
        <v>47</v>
      </c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1:10" x14ac:dyDescent="0.25">
      <c r="A19" t="s">
        <v>28</v>
      </c>
      <c r="B19" s="5">
        <v>0.9</v>
      </c>
      <c r="C19" s="7">
        <v>44826</v>
      </c>
      <c r="D19" s="5" t="s">
        <v>47</v>
      </c>
      <c r="E19" s="5"/>
      <c r="F19" s="5"/>
      <c r="G19" s="5"/>
      <c r="I19" t="s">
        <v>18</v>
      </c>
      <c r="J19" s="12">
        <f>SUBTOTAL(109,Tabela3131517192123824[Total])</f>
        <v>245.82</v>
      </c>
    </row>
    <row r="20" spans="1:10" x14ac:dyDescent="0.25">
      <c r="A20" t="s">
        <v>32</v>
      </c>
      <c r="B20" s="5">
        <v>10.73</v>
      </c>
      <c r="C20" s="7">
        <v>44826</v>
      </c>
      <c r="D20" s="5"/>
      <c r="E20" s="5"/>
      <c r="F20" s="5"/>
      <c r="G20" s="5"/>
    </row>
    <row r="21" spans="1:10" x14ac:dyDescent="0.25">
      <c r="A21" t="s">
        <v>32</v>
      </c>
      <c r="B21" s="5">
        <v>3.58</v>
      </c>
      <c r="C21" s="7">
        <v>44826</v>
      </c>
      <c r="D21" s="5"/>
      <c r="E21" s="5"/>
      <c r="F21" s="5"/>
      <c r="G21" s="5"/>
    </row>
    <row r="22" spans="1:10" x14ac:dyDescent="0.25">
      <c r="A22" t="s">
        <v>19</v>
      </c>
      <c r="B22" s="5">
        <v>10.95</v>
      </c>
      <c r="C22" s="7">
        <v>44829</v>
      </c>
      <c r="D22" s="5" t="s">
        <v>51</v>
      </c>
      <c r="E22" s="5"/>
      <c r="F22" s="5"/>
      <c r="G22" s="5"/>
    </row>
    <row r="23" spans="1:10" x14ac:dyDescent="0.25">
      <c r="A23" t="s">
        <v>31</v>
      </c>
      <c r="B23" s="5">
        <v>12</v>
      </c>
      <c r="C23" s="7">
        <v>44829</v>
      </c>
      <c r="D23" s="5"/>
      <c r="E23" s="5"/>
      <c r="F23" s="5"/>
      <c r="G23" s="5"/>
    </row>
    <row r="24" spans="1:10" x14ac:dyDescent="0.25">
      <c r="A24" t="s">
        <v>40</v>
      </c>
      <c r="B24" s="5">
        <v>8</v>
      </c>
      <c r="C24" s="7">
        <v>44829</v>
      </c>
      <c r="D24" s="5"/>
      <c r="E24" s="5"/>
      <c r="F24" s="5"/>
      <c r="G24" s="5"/>
    </row>
    <row r="25" spans="1:10" x14ac:dyDescent="0.25">
      <c r="A25" t="s">
        <v>32</v>
      </c>
      <c r="B25" s="5">
        <v>2.63</v>
      </c>
      <c r="C25" s="7">
        <v>44829</v>
      </c>
      <c r="D25" s="5"/>
      <c r="E25" s="5"/>
      <c r="F25" s="5"/>
      <c r="G25" s="5"/>
    </row>
    <row r="26" spans="1:10" x14ac:dyDescent="0.25">
      <c r="A26" t="s">
        <v>39</v>
      </c>
      <c r="B26" s="5">
        <v>10.44</v>
      </c>
      <c r="C26" s="7">
        <v>44830</v>
      </c>
      <c r="D26" s="5"/>
      <c r="E26" s="5"/>
      <c r="F26" s="5"/>
      <c r="G26" s="5"/>
    </row>
    <row r="27" spans="1:10" x14ac:dyDescent="0.25">
      <c r="A27" t="s">
        <v>41</v>
      </c>
      <c r="B27" s="5">
        <v>0.01</v>
      </c>
      <c r="C27" s="7">
        <v>44830</v>
      </c>
      <c r="D27" s="5"/>
      <c r="E27" s="5"/>
      <c r="F27" s="5"/>
      <c r="G27" s="5"/>
    </row>
    <row r="28" spans="1:10" x14ac:dyDescent="0.25">
      <c r="A28" t="s">
        <v>41</v>
      </c>
      <c r="B28" s="5">
        <v>0.21</v>
      </c>
      <c r="C28" s="7">
        <v>44830</v>
      </c>
      <c r="D28" s="5"/>
      <c r="E28" s="5"/>
      <c r="F28" s="5"/>
      <c r="G28" s="5"/>
    </row>
    <row r="29" spans="1:10" x14ac:dyDescent="0.25">
      <c r="A29" t="s">
        <v>28</v>
      </c>
      <c r="B29" s="5">
        <v>1</v>
      </c>
      <c r="C29" s="7">
        <v>44830</v>
      </c>
      <c r="D29" s="5"/>
      <c r="E29" s="5"/>
      <c r="F29" s="5"/>
      <c r="G29" s="5"/>
    </row>
    <row r="30" spans="1:10" x14ac:dyDescent="0.25">
      <c r="B30" s="5"/>
      <c r="C30" s="7"/>
      <c r="D30" s="5"/>
      <c r="E30" s="5"/>
      <c r="F30" s="5"/>
      <c r="G30" s="5"/>
    </row>
    <row r="31" spans="1:10" x14ac:dyDescent="0.25">
      <c r="B31" s="5"/>
      <c r="C31" s="7"/>
      <c r="D31" s="5"/>
      <c r="E31" s="5"/>
      <c r="F31" s="5"/>
      <c r="G31" s="5"/>
    </row>
    <row r="32" spans="1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2022-09-26T13:51:49Z</dcterms:modified>
</cp:coreProperties>
</file>