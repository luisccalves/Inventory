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alves\OneDrive - OTIS Elevator\Documents\Projetos Python\Inventory\"/>
    </mc:Choice>
  </mc:AlternateContent>
  <xr:revisionPtr revIDLastSave="0" documentId="13_ncr:1_{2F56516A-159E-4CC1-93A0-6B0291FAF02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<sst xmlns="http://schemas.openxmlformats.org/spreadsheetml/2006/main" count="380" uniqueCount="46">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</sst>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2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0" fontId="0" fillId="0" borderId="0" xfId="0" applyAlignment="1"/>
    <xf numFmtId="164" fontId="0" fillId="0" borderId="0" xfId="0" applyNumberFormat="1" applyFill="1" applyAlignment="1">
      <alignment horizontal="center" vertical="center"/>
    </xf>
    <xf numFmtId="44" fontId="0" fillId="0" borderId="0" xfId="2" applyFont="1"/>
    <xf numFmtId="0" fontId="0" fillId="3" borderId="0" xfId="0" applyFont="1" applyFill="1"/>
    <xf numFmtId="14" fontId="0" fillId="0" borderId="0" xfId="2" applyNumberFormat="1" applyFont="1"/>
    <xf numFmtId="0" fontId="0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2" applyNumberFormat="1" applyFont="1"/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7"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Viagem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Via Verde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3"/>
    </mc:Choice>
    <mc:Fallback>
      <c:style val="23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'2022'!$O$2</c:f>
              <c:strCache>
                <c:ptCount val="1"/>
                <c:pt idx="0">
                  <c:v>Total</c:v>
                </c:pt>
              </c:strCache>
            </c:strRef>
          </c:tx>
          <c:explosion val="25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'2022'!$B$3:$B$19</c:f>
              <c:strCache>
                <c:ptCount val="17"/>
                <c:pt idx="0">
                  <c:v>Luz/Gaz</c:v>
                </c:pt>
                <c:pt idx="1">
                  <c:v>Agua</c:v>
                </c:pt>
                <c:pt idx="2">
                  <c:v>Nos</c:v>
                </c:pt>
                <c:pt idx="3">
                  <c:v>Veiculos</c:v>
                </c:pt>
                <c:pt idx="4">
                  <c:v>Combustivel</c:v>
                </c:pt>
                <c:pt idx="5">
                  <c:v>Restaurante</c:v>
                </c:pt>
                <c:pt idx="6">
                  <c:v>Viagem</c:v>
                </c:pt>
                <c:pt idx="7">
                  <c:v>Via Verde</c:v>
                </c:pt>
                <c:pt idx="8">
                  <c:v>Misc</c:v>
                </c:pt>
                <c:pt idx="9">
                  <c:v>Mercearia</c:v>
                </c:pt>
                <c:pt idx="10">
                  <c:v>Levantamento</c:v>
                </c:pt>
                <c:pt idx="11">
                  <c:v>Roupa</c:v>
                </c:pt>
                <c:pt idx="12">
                  <c:v>Informatica</c:v>
                </c:pt>
                <c:pt idx="13">
                  <c:v>SL</c:v>
                </c:pt>
                <c:pt idx="14">
                  <c:v>Tabaco</c:v>
                </c:pt>
                <c:pt idx="15">
                  <c:v>Conta</c:v>
                </c:pt>
                <c:pt idx="16">
                  <c:v>Impostos</c:v>
                </c:pt>
              </c:strCache>
            </c:strRef>
          </c:cat>
          <c:val>
            <c:numRef>
              <c:f>'2022'!$O$3:$O$19</c:f>
              <c:numCache>
                <c:formatCode>#\ ##0.00\ "€"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96-4810-AADF-D58481A3A4DA}"/>
            </c:ext>
          </c:extLst>
        </c:ser>
        <c:dLbls>
          <c:dLblPos val="bestFit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487.79</c:v>
                </c:pt>
                <c:pt idx="9">
                  <c:v>487.79</c:v>
                </c:pt>
                <c:pt idx="10">
                  <c:v>487.79</c:v>
                </c:pt>
                <c:pt idx="11">
                  <c:v>487.79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95249</xdr:colOff>
      <xdr:row>0</xdr:row>
      <xdr:rowOff>333374</xdr:rowOff>
    </xdr:from>
    <xdr:to>
      <xdr:col>30</xdr:col>
      <xdr:colOff>-1</xdr:colOff>
      <xdr:row>56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5" dataDxfId="174" totalsRowDxfId="173">
  <tableColumns count="15">
    <tableColumn id="1" xr3:uid="{00000000-0010-0000-0000-000001000000}" name="Categoria" totalsRowLabel="Total" dataDxfId="172" totalsRowDxfId="171"/>
    <tableColumn id="2" xr3:uid="{00000000-0010-0000-0000-000002000000}" name="Jan" totalsRowFunction="sum" dataDxfId="170" totalsRowDxfId="169"/>
    <tableColumn id="3" xr3:uid="{00000000-0010-0000-0000-000003000000}" name="Fev" totalsRowFunction="sum" dataDxfId="168" totalsRowDxfId="167"/>
    <tableColumn id="4" xr3:uid="{00000000-0010-0000-0000-000004000000}" name="Mar" totalsRowFunction="sum" dataDxfId="166" totalsRowDxfId="165"/>
    <tableColumn id="5" xr3:uid="{00000000-0010-0000-0000-000005000000}" name="Abr" totalsRowFunction="sum" dataDxfId="164" totalsRowDxfId="163"/>
    <tableColumn id="6" xr3:uid="{00000000-0010-0000-0000-000006000000}" name="Mai" totalsRowFunction="sum" dataDxfId="162" totalsRowDxfId="161"/>
    <tableColumn id="7" xr3:uid="{00000000-0010-0000-0000-000007000000}" name="Jun" totalsRowFunction="sum" dataDxfId="160" totalsRowDxfId="159"/>
    <tableColumn id="8" xr3:uid="{00000000-0010-0000-0000-000008000000}" name="Jul" totalsRowFunction="sum" dataDxfId="158" totalsRowDxfId="157"/>
    <tableColumn id="9" xr3:uid="{00000000-0010-0000-0000-000009000000}" name="Ago" totalsRowFunction="sum" dataDxfId="156" totalsRowDxfId="155"/>
    <tableColumn id="10" xr3:uid="{00000000-0010-0000-0000-00000A000000}" name="Set" totalsRowFunction="sum" dataDxfId="154" totalsRowDxfId="153"/>
    <tableColumn id="11" xr3:uid="{00000000-0010-0000-0000-00000B000000}" name="Out" totalsRowFunction="sum" dataDxfId="152" totalsRowDxfId="151"/>
    <tableColumn id="12" xr3:uid="{00000000-0010-0000-0000-00000C000000}" name="Nov" totalsRowFunction="sum" dataDxfId="150" totalsRowDxfId="149"/>
    <tableColumn id="13" xr3:uid="{00000000-0010-0000-0000-00000D000000}" name="Dez" totalsRowFunction="sum" dataDxfId="148" totalsRowDxfId="147"/>
    <tableColumn id="16" xr3:uid="{00000000-0010-0000-0000-000010000000}" name="Total" totalsRowFunction="sum" dataDxfId="146" totalsRowDxfId="145" dataCellStyle="Normal">
      <calculatedColumnFormula>SUM(tblGanhos[[#This Row],[Jan]:[Dez]])</calculatedColumnFormula>
    </tableColumn>
    <tableColumn id="17" xr3:uid="{00000000-0010-0000-0000-000011000000}" name="Trends" dataDxfId="144" totalsRowDxfId="143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142">
  <tableColumns count="15">
    <tableColumn id="1" xr3:uid="{00000000-0010-0000-0100-000001000000}" name="Categoria" totalsRowLabel="Total"/>
    <tableColumn id="2" xr3:uid="{00000000-0010-0000-0100-000002000000}" name="Jan" totalsRowFunction="sum" dataDxfId="141" totalsRowDxfId="140">
      <calculatedColumnFormula>Jan!J2</calculatedColumnFormula>
    </tableColumn>
    <tableColumn id="3" xr3:uid="{00000000-0010-0000-0100-000003000000}" name="Fev" totalsRowFunction="sum" dataDxfId="139" totalsRowDxfId="138">
      <calculatedColumnFormula>Fev!J2</calculatedColumnFormula>
    </tableColumn>
    <tableColumn id="4" xr3:uid="{00000000-0010-0000-0100-000004000000}" name="Mar" totalsRowFunction="sum" dataDxfId="137" totalsRowDxfId="136">
      <calculatedColumnFormula>Mar!J2</calculatedColumnFormula>
    </tableColumn>
    <tableColumn id="5" xr3:uid="{00000000-0010-0000-0100-000005000000}" name="Abr" totalsRowFunction="sum" dataDxfId="135" totalsRowDxfId="134">
      <calculatedColumnFormula>Abr!J2</calculatedColumnFormula>
    </tableColumn>
    <tableColumn id="6" xr3:uid="{00000000-0010-0000-0100-000006000000}" name="Mai" totalsRowFunction="sum" dataDxfId="133" totalsRowDxfId="132">
      <calculatedColumnFormula>Mai!J2</calculatedColumnFormula>
    </tableColumn>
    <tableColumn id="7" xr3:uid="{00000000-0010-0000-0100-000007000000}" name="Jun" totalsRowFunction="sum" dataDxfId="131" totalsRowDxfId="130">
      <calculatedColumnFormula>Jun!J2</calculatedColumnFormula>
    </tableColumn>
    <tableColumn id="8" xr3:uid="{00000000-0010-0000-0100-000008000000}" name="Jul" totalsRowFunction="sum" dataDxfId="129" totalsRowDxfId="128">
      <calculatedColumnFormula>Jul!J2</calculatedColumnFormula>
    </tableColumn>
    <tableColumn id="9" xr3:uid="{00000000-0010-0000-0100-000009000000}" name="Ago" totalsRowFunction="sum" dataDxfId="127" totalsRowDxfId="126">
      <calculatedColumnFormula>Ago!J2</calculatedColumnFormula>
    </tableColumn>
    <tableColumn id="10" xr3:uid="{00000000-0010-0000-0100-00000A000000}" name="Set" totalsRowFunction="sum" dataDxfId="125" totalsRowDxfId="124">
      <calculatedColumnFormula>Set!J2</calculatedColumnFormula>
    </tableColumn>
    <tableColumn id="11" xr3:uid="{00000000-0010-0000-0100-00000B000000}" name="Out" totalsRowFunction="sum" dataDxfId="123" totalsRowDxfId="122">
      <calculatedColumnFormula>Out!J2</calculatedColumnFormula>
    </tableColumn>
    <tableColumn id="12" xr3:uid="{00000000-0010-0000-0100-00000C000000}" name="Nov" totalsRowFunction="sum" dataDxfId="121" totalsRowDxfId="120">
      <calculatedColumnFormula>Nov!J2</calculatedColumnFormula>
    </tableColumn>
    <tableColumn id="13" xr3:uid="{00000000-0010-0000-0100-00000D000000}" name="Dez" totalsRowFunction="sum" dataDxfId="119" totalsRowDxfId="118">
      <calculatedColumnFormula>Dez!J2</calculatedColumnFormula>
    </tableColumn>
    <tableColumn id="16" xr3:uid="{00000000-0010-0000-0100-000010000000}" name="Total" totalsRowFunction="sum" dataDxfId="117" totalsRowDxfId="116" dataCellStyle="Normal">
      <calculatedColumnFormula>SUM(tblDespesas[[#This Row],[Jan]:[Dez]])</calculatedColumnFormula>
    </tableColumn>
    <tableColumn id="17" xr3:uid="{00000000-0010-0000-0100-000011000000}" name="Trends" dataDxfId="115" totalsRowDxfId="114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13">
  <tableColumns count="13">
    <tableColumn id="1" xr3:uid="{00000000-0010-0000-0200-000001000000}" name="Column1"/>
    <tableColumn id="2" xr3:uid="{00000000-0010-0000-0200-000002000000}" name="Column2" headerRowDxfId="112">
      <calculatedColumnFormula>C22</calculatedColumnFormula>
    </tableColumn>
    <tableColumn id="3" xr3:uid="{00000000-0010-0000-0200-000003000000}" name="Column3" headerRowDxfId="111">
      <calculatedColumnFormula>C23+D22</calculatedColumnFormula>
    </tableColumn>
    <tableColumn id="4" xr3:uid="{00000000-0010-0000-0200-000004000000}" name="Column4" headerRowDxfId="110">
      <calculatedColumnFormula>D23+E22</calculatedColumnFormula>
    </tableColumn>
    <tableColumn id="5" xr3:uid="{00000000-0010-0000-0200-000005000000}" name="Column5" headerRowDxfId="109">
      <calculatedColumnFormula>E23+F22</calculatedColumnFormula>
    </tableColumn>
    <tableColumn id="6" xr3:uid="{00000000-0010-0000-0200-000006000000}" name="Column6" headerRowDxfId="108">
      <calculatedColumnFormula>F23+G22</calculatedColumnFormula>
    </tableColumn>
    <tableColumn id="7" xr3:uid="{00000000-0010-0000-0200-000007000000}" name="Column7" headerRowDxfId="107">
      <calculatedColumnFormula>G23+H22</calculatedColumnFormula>
    </tableColumn>
    <tableColumn id="8" xr3:uid="{00000000-0010-0000-0200-000008000000}" name="Column8" headerRowDxfId="106">
      <calculatedColumnFormula>H23+I22</calculatedColumnFormula>
    </tableColumn>
    <tableColumn id="9" xr3:uid="{00000000-0010-0000-0200-000009000000}" name="Column9" headerRowDxfId="105">
      <calculatedColumnFormula>I23+J22</calculatedColumnFormula>
    </tableColumn>
    <tableColumn id="10" xr3:uid="{00000000-0010-0000-0200-00000A000000}" name="Column10" headerRowDxfId="104">
      <calculatedColumnFormula>J23+K22</calculatedColumnFormula>
    </tableColumn>
    <tableColumn id="11" xr3:uid="{00000000-0010-0000-0200-00000B000000}" name="Column11" headerRowDxfId="103">
      <calculatedColumnFormula>K23+L22</calculatedColumnFormula>
    </tableColumn>
    <tableColumn id="12" xr3:uid="{00000000-0010-0000-0200-00000C000000}" name="Column12" headerRowDxfId="102">
      <calculatedColumnFormula>L23+M22</calculatedColumnFormula>
    </tableColumn>
    <tableColumn id="13" xr3:uid="{00000000-0010-0000-0200-00000D000000}" name="Column13" headerRowDxfId="101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00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99">
      <calculatedColumnFormula>tblJaneiro[[#This Row],[Débito]]</calculatedColumnFormula>
    </tableColumn>
    <tableColumn id="3" xr3:uid="{00000000-0010-0000-0300-000003000000}" name="Data" dataDxfId="98"/>
    <tableColumn id="4" xr3:uid="{00000000-0010-0000-0300-000004000000}" name="Descrição" dataDxfId="97"/>
    <tableColumn id="5" xr3:uid="{00000000-0010-0000-0300-000005000000}" name="Débito" dataDxfId="96"/>
    <tableColumn id="6" xr3:uid="{00000000-0010-0000-0300-000006000000}" name="Crédito" dataDxfId="95"/>
    <tableColumn id="7" xr3:uid="{00000000-0010-0000-0300-000007000000}" name="Categoria #2" dataDxfId="9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93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92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91"/>
    <tableColumn id="3" xr3:uid="{00000000-0010-0000-0500-000003000000}" name="Data" dataDxfId="90"/>
    <tableColumn id="4" xr3:uid="{00000000-0010-0000-0500-000004000000}" name="Descrição" dataDxfId="89"/>
    <tableColumn id="5" xr3:uid="{00000000-0010-0000-0500-000005000000}" name="Débito" dataDxfId="88"/>
    <tableColumn id="6" xr3:uid="{00000000-0010-0000-0500-000006000000}" name="Crédito" dataDxfId="87"/>
    <tableColumn id="7" xr3:uid="{00000000-0010-0000-0500-000007000000}" name="Categoria #2" dataDxfId="8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85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84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83"/>
    <tableColumn id="3" xr3:uid="{00000000-0010-0000-0700-000003000000}" name="Data" dataDxfId="82"/>
    <tableColumn id="4" xr3:uid="{00000000-0010-0000-0700-000004000000}" name="Descrição" dataDxfId="81"/>
    <tableColumn id="5" xr3:uid="{00000000-0010-0000-0700-000005000000}" name="Débito" dataDxfId="80"/>
    <tableColumn id="6" xr3:uid="{00000000-0010-0000-0700-000006000000}" name="Crédito" dataDxfId="79"/>
    <tableColumn id="7" xr3:uid="{00000000-0010-0000-0700-000007000000}" name="Categoria #2" dataDxfId="7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77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76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75"/>
    <tableColumn id="3" xr3:uid="{00000000-0010-0000-0900-000003000000}" name="Data" dataDxfId="74"/>
    <tableColumn id="4" xr3:uid="{00000000-0010-0000-0900-000004000000}" name="Descrição" dataDxfId="73"/>
    <tableColumn id="5" xr3:uid="{00000000-0010-0000-0900-000005000000}" name="Débito" dataDxfId="72"/>
    <tableColumn id="6" xr3:uid="{00000000-0010-0000-0900-000006000000}" name="Crédito" dataDxfId="71"/>
    <tableColumn id="7" xr3:uid="{00000000-0010-0000-0900-000007000000}" name="Categoria #2" dataDxfId="70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69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68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67"/>
    <tableColumn id="3" xr3:uid="{00000000-0010-0000-0B00-000003000000}" name="Data" dataDxfId="66"/>
    <tableColumn id="4" xr3:uid="{00000000-0010-0000-0B00-000004000000}" name="Descrição" dataDxfId="65"/>
    <tableColumn id="5" xr3:uid="{00000000-0010-0000-0B00-000005000000}" name="Débito" dataDxfId="64"/>
    <tableColumn id="6" xr3:uid="{00000000-0010-0000-0B00-000006000000}" name="Crédito" dataDxfId="63"/>
    <tableColumn id="7" xr3:uid="{00000000-0010-0000-0B00-000007000000}" name="Categoria #2" dataDxfId="6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61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60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59"/>
    <tableColumn id="3" xr3:uid="{00000000-0010-0000-0D00-000003000000}" name="Data" dataDxfId="58"/>
    <tableColumn id="4" xr3:uid="{00000000-0010-0000-0D00-000004000000}" name="Descrição" dataDxfId="57"/>
    <tableColumn id="5" xr3:uid="{00000000-0010-0000-0D00-000005000000}" name="Débito" dataDxfId="56"/>
    <tableColumn id="6" xr3:uid="{00000000-0010-0000-0D00-000006000000}" name="Crédito" dataDxfId="55"/>
    <tableColumn id="7" xr3:uid="{00000000-0010-0000-0D00-000007000000}" name="Categoria #2" dataDxfId="5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53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52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51"/>
    <tableColumn id="3" xr3:uid="{00000000-0010-0000-0F00-000003000000}" name="Data" dataDxfId="50"/>
    <tableColumn id="4" xr3:uid="{00000000-0010-0000-0F00-000004000000}" name="Descrição" dataDxfId="49"/>
    <tableColumn id="5" xr3:uid="{00000000-0010-0000-0F00-000005000000}" name="Débito" dataDxfId="48"/>
    <tableColumn id="6" xr3:uid="{00000000-0010-0000-0F00-000006000000}" name="Crédito" dataDxfId="47"/>
    <tableColumn id="7" xr3:uid="{00000000-0010-0000-0F00-000007000000}" name="Categoria #2" dataDxfId="46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45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44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43"/>
    <tableColumn id="3" xr3:uid="{00000000-0010-0000-1100-000003000000}" name="Data" dataDxfId="42"/>
    <tableColumn id="4" xr3:uid="{00000000-0010-0000-1100-000004000000}" name="Descrição" dataDxfId="41"/>
    <tableColumn id="5" xr3:uid="{00000000-0010-0000-1100-000005000000}" name="Débito" dataDxfId="40"/>
    <tableColumn id="6" xr3:uid="{00000000-0010-0000-1100-000006000000}" name="Crédito" dataDxfId="39"/>
    <tableColumn id="7" xr3:uid="{00000000-0010-0000-1100-000007000000}" name="Categoria #2" dataDxfId="38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37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36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Janeiro12141618202269" displayName="tblJaneiro12141618202269" ref="A1:G72" totalsRowShown="0" headerRowDxfId="35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34"/>
    <tableColumn id="3" xr3:uid="{00000000-0010-0000-1300-000003000000}" name="Data" dataDxfId="33"/>
    <tableColumn id="4" xr3:uid="{00000000-0010-0000-1300-000004000000}" name="Descrição" dataDxfId="32"/>
    <tableColumn id="5" xr3:uid="{00000000-0010-0000-1300-000005000000}" name="Débito" dataDxfId="31"/>
    <tableColumn id="6" xr3:uid="{00000000-0010-0000-1300-000006000000}" name="Crédito" dataDxfId="30"/>
    <tableColumn id="7" xr3:uid="{00000000-0010-0000-1300-000007000000}" name="Categoria #2" dataDxfId="29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28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27">
      <calculatedColumnFormula>SUMIF(tblJaneiro12141618202269[Categoria],Tabela3131517192123824[[#This Row],[Categoria]],tblJaneiro12141618202269[Valor])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26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25"/>
    <tableColumn id="3" xr3:uid="{00000000-0010-0000-1500-000003000000}" name="Data" dataDxfId="24"/>
    <tableColumn id="4" xr3:uid="{00000000-0010-0000-1500-000004000000}" name="Descrição" dataDxfId="23"/>
    <tableColumn id="5" xr3:uid="{00000000-0010-0000-1500-000005000000}" name="Débito" dataDxfId="22"/>
    <tableColumn id="6" xr3:uid="{00000000-0010-0000-1500-000006000000}" name="Crédito" dataDxfId="21"/>
    <tableColumn id="7" xr3:uid="{00000000-0010-0000-1500-000007000000}" name="Categoria #2" dataDxfId="20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19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18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17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16"/>
    <tableColumn id="3" xr3:uid="{00000000-0010-0000-1700-000003000000}" name="Data" dataDxfId="15"/>
    <tableColumn id="4" xr3:uid="{00000000-0010-0000-1700-000004000000}" name="Descrição" dataDxfId="14"/>
    <tableColumn id="5" xr3:uid="{00000000-0010-0000-1700-000005000000}" name="Débito" dataDxfId="13"/>
    <tableColumn id="6" xr3:uid="{00000000-0010-0000-1700-000006000000}" name="Crédito" dataDxfId="12"/>
    <tableColumn id="7" xr3:uid="{00000000-0010-0000-1700-000007000000}" name="Categoria #2" dataDxfId="11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10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9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8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7"/>
    <tableColumn id="3" xr3:uid="{00000000-0010-0000-1900-000003000000}" name="Data" dataDxfId="6"/>
    <tableColumn id="4" xr3:uid="{00000000-0010-0000-1900-000004000000}" name="Descrição" dataDxfId="5"/>
    <tableColumn id="5" xr3:uid="{00000000-0010-0000-1900-000005000000}" name="Débito" dataDxfId="4"/>
    <tableColumn id="6" xr3:uid="{00000000-0010-0000-1900-000006000000}" name="Crédito" dataDxfId="3"/>
    <tableColumn id="7" xr3:uid="{00000000-0010-0000-1900-000007000000}" name="Categoria #2" dataDxfId="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1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0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B8" sqref="B8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7" t="s">
        <v>15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0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0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0</v>
      </c>
      <c r="M6" s="3">
        <f>Nov!J5</f>
        <v>0</v>
      </c>
      <c r="N6" s="3">
        <f>Dez!J5</f>
        <v>0</v>
      </c>
      <c r="O6" s="3">
        <f>SUM(tblDespesas[[#This Row],[Jan]:[Dez]])</f>
        <v>0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0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0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0.9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0.9</v>
      </c>
      <c r="P8" s="4"/>
    </row>
    <row r="9" spans="2:16" x14ac:dyDescent="0.25">
      <c r="B9" t="s">
        <v>29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30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0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0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0</v>
      </c>
      <c r="L12" s="3">
        <f>Out!J11</f>
        <v>0</v>
      </c>
      <c r="M12" s="3">
        <f>Nov!J11</f>
        <v>0</v>
      </c>
      <c r="N12" s="3">
        <f>Dez!J11</f>
        <v>0</v>
      </c>
      <c r="O12" s="6">
        <f>SUM(tblDespesas[[#This Row],[Jan]:[Dez]])</f>
        <v>0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0</v>
      </c>
      <c r="L13" s="3">
        <f>Out!J12</f>
        <v>0</v>
      </c>
      <c r="M13" s="3">
        <f>Nov!J12</f>
        <v>0</v>
      </c>
      <c r="N13" s="3">
        <f>Dez!J12</f>
        <v>0</v>
      </c>
      <c r="O13" s="3">
        <f>SUM(tblDespesas[[#This Row],[Jan]:[Dez]])</f>
        <v>0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6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6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0</v>
      </c>
      <c r="L16" s="3">
        <f>Out!J15</f>
        <v>0</v>
      </c>
      <c r="M16" s="3">
        <f>Nov!J15</f>
        <v>0</v>
      </c>
      <c r="N16" s="3">
        <f>Dez!J15</f>
        <v>0</v>
      </c>
      <c r="O16" s="6">
        <f>SUM(tblDespesas[[#This Row],[Jan]:[Dez]])</f>
        <v>0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0</v>
      </c>
      <c r="L17" s="3">
        <f>Out!J16</f>
        <v>0</v>
      </c>
      <c r="M17" s="3">
        <f>Nov!J16</f>
        <v>0</v>
      </c>
      <c r="N17" s="3">
        <f>Dez!J16</f>
        <v>0</v>
      </c>
      <c r="O17" s="6">
        <f>SUM(tblDespesas[[#This Row],[Jan]:[Dez]])</f>
        <v>0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</v>
      </c>
      <c r="L18" s="3">
        <f>Out!J17</f>
        <v>0</v>
      </c>
      <c r="M18" s="3">
        <f>Nov!J17</f>
        <v>0</v>
      </c>
      <c r="N18" s="3">
        <f>Dez!J17</f>
        <v>0</v>
      </c>
      <c r="O18" s="6">
        <f>SUM(tblDespesas[[#This Row],[Jan]:[Dez]])</f>
        <v>0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6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0.9</v>
      </c>
      <c r="L20" s="3">
        <f>SUBTOTAL(109,tblDespesas[Out])</f>
        <v>0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0.9</v>
      </c>
      <c r="P20" s="8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487.79</v>
      </c>
      <c r="L22" s="3">
        <f>tblGanhos[[#Totals],[Out]]-tblDespesas[[#Totals],[Out]]</f>
        <v>0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8"/>
      <c r="P22" s="19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487.79</v>
      </c>
      <c r="L23" s="1">
        <f t="shared" si="0"/>
        <v>487.79</v>
      </c>
      <c r="M23" s="1">
        <f t="shared" si="0"/>
        <v>487.79</v>
      </c>
      <c r="N23" s="1">
        <f t="shared" si="0"/>
        <v>487.79</v>
      </c>
      <c r="O23" s="20"/>
      <c r="P23" s="21"/>
    </row>
    <row r="24" spans="2:16" ht="26.25" x14ac:dyDescent="0.4">
      <c r="B24" s="17" t="s">
        <v>16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2"/>
    </row>
    <row r="25" spans="2:16" x14ac:dyDescent="0.25">
      <c r="B25" s="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s="5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458.9</v>
      </c>
      <c r="L26" s="3">
        <v>0</v>
      </c>
      <c r="M26" s="3">
        <v>0</v>
      </c>
      <c r="N26" s="3">
        <v>0</v>
      </c>
      <c r="O26" s="3">
        <f>SUM(tblGanhos[[#This Row],[Jan]:[Dez]])</f>
        <v>458.9</v>
      </c>
      <c r="P26" s="4"/>
    </row>
    <row r="27" spans="2:16" x14ac:dyDescent="0.25">
      <c r="B27" s="5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29.79</v>
      </c>
      <c r="L27" s="3">
        <v>0</v>
      </c>
      <c r="M27" s="3">
        <v>0</v>
      </c>
      <c r="N27" s="3">
        <v>0</v>
      </c>
      <c r="O27" s="3">
        <f>SUM(tblGanhos[[#This Row],[Jan]:[Dez]])</f>
        <v>29.79</v>
      </c>
      <c r="P27" s="4"/>
    </row>
    <row r="28" spans="2:16" x14ac:dyDescent="0.25">
      <c r="B28" s="5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6">
        <f>SUM(tblGanhos[[#This Row],[Jan]:[Dez]])</f>
        <v>0</v>
      </c>
      <c r="P28" s="4"/>
    </row>
    <row r="29" spans="2:16" x14ac:dyDescent="0.25">
      <c r="B29" s="5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488.69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488.69</v>
      </c>
      <c r="P29" s="10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SUMIF(tblJaneiro[Categoria],Tabela3[[#This Row],[Categoria]],tblJaneiro[Valor])</f>
        <v>0</v>
      </c>
      <c r="L2" s="16">
        <v>43466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SUMIF(tblJaneiro[Categoria],Tabela3[[#This Row],[Categoria]],tblJaneiro[Valor])</f>
        <v>0</v>
      </c>
      <c r="L3" s="16">
        <v>43467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SUMIF(tblJaneiro[Categoria],Tabela3[[#This Row],[Categoria]],tblJaneiro[Valor])</f>
        <v>0</v>
      </c>
      <c r="L4" s="16">
        <v>43468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SUMIF(tblJaneiro[Categoria],Tabela3[[#This Row],[Categoria]],tblJaneiro[Valor])</f>
        <v>0</v>
      </c>
      <c r="L5" s="16">
        <v>43469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SUMIF(tblJaneiro[Categoria],Tabela3[[#This Row],[Categoria]],tblJaneiro[Valor])</f>
        <v>0</v>
      </c>
      <c r="L6" s="16">
        <v>43470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SUMIF(tblJaneiro[Categoria],Tabela3[[#This Row],[Categoria]],tblJaneiro[Valor])</f>
        <v>0</v>
      </c>
      <c r="L7" s="16">
        <v>43471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SUMIF(tblJaneiro[Categoria],Tabela3[[#This Row],[Categoria]],tblJaneiro[Valor])</f>
        <v>0</v>
      </c>
      <c r="L8" s="16">
        <v>43472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SUMIF(tblJaneiro[Categoria],Tabela3[[#This Row],[Categoria]],tblJaneiro[Valor])</f>
        <v>0</v>
      </c>
      <c r="L9" s="16">
        <v>43473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SUMIF(tblJaneiro[Categoria],Tabela3[[#This Row],[Categoria]],tblJaneiro[Valor])</f>
        <v>0</v>
      </c>
      <c r="L10" s="16">
        <v>43474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SUMIF(tblJaneiro[Categoria],Tabela3[[#This Row],[Categoria]],tblJaneiro[Valor])</f>
        <v>0</v>
      </c>
      <c r="L11" s="16">
        <v>43475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SUMIF(tblJaneiro[Categoria],Tabela3[[#This Row],[Categoria]],tblJaneiro[Valor])</f>
        <v>0</v>
      </c>
      <c r="L12" s="16">
        <v>43476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SUMIF(tblJaneiro[Categoria],Tabela3[[#This Row],[Categoria]],tblJaneiro[Valor])</f>
        <v>0</v>
      </c>
      <c r="L13" s="16">
        <v>43477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SUMIF(tblJaneiro[Categoria],Tabela3[[#This Row],[Categoria]],tblJaneiro[Valor])</f>
        <v>0</v>
      </c>
      <c r="L14" s="16">
        <v>43478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SUMIF(tblJaneiro[Categoria],Tabela3[[#This Row],[Categoria]],tblJaneiro[Valor])</f>
        <v>0</v>
      </c>
      <c r="L15" s="16">
        <v>43479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SUMIF(tblJaneiro[Categoria],Tabela3[[#This Row],[Categoria]],tblJaneiro[Valor])</f>
        <v>0</v>
      </c>
      <c r="L16" s="16">
        <v>43480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SUMIF(tblJaneiro[Categoria],Tabela3[[#This Row],[Categoria]],tblJaneiro[Valor])</f>
        <v>0</v>
      </c>
      <c r="L17" s="16">
        <v>43481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SUMIF(tblJaneiro[Categoria],Tabela3[[#This Row],[Categoria]],tblJaneiro[Valor])</f>
        <v>0</v>
      </c>
      <c r="L18" s="16">
        <v>43482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SUBTOTAL(109,Tabela3[Total])</f>
        <v>0</v>
      </c>
      <c r="L19" s="16">
        <v>43483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43484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43485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43486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43487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43488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43489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43490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43491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43492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43493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43494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43495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43496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SUMIF(tblJaneiro12[Categoria],Tabela313[[#This Row],[Categoria]],tblJaneiro12[Valor])</f>
        <v>0</v>
      </c>
      <c r="L2" s="16">
        <v>43497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SUMIF(tblJaneiro12[Categoria],Tabela313[[#This Row],[Categoria]],tblJaneiro12[Valor])</f>
        <v>0</v>
      </c>
      <c r="L3" s="16">
        <v>43498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SUMIF(tblJaneiro12[Categoria],Tabela313[[#This Row],[Categoria]],tblJaneiro12[Valor])</f>
        <v>0</v>
      </c>
      <c r="L4" s="16">
        <v>43499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SUMIF(tblJaneiro12[Categoria],Tabela313[[#This Row],[Categoria]],tblJaneiro12[Valor])</f>
        <v>0</v>
      </c>
      <c r="L5" s="16">
        <v>43500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SUMIF(tblJaneiro12[Categoria],Tabela313[[#This Row],[Categoria]],tblJaneiro12[Valor])</f>
        <v>0</v>
      </c>
      <c r="L6" s="16">
        <v>43501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SUMIF(tblJaneiro12[Categoria],Tabela313[[#This Row],[Categoria]],tblJaneiro12[Valor])</f>
        <v>0</v>
      </c>
      <c r="L7" s="16">
        <v>43502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SUMIF(tblJaneiro12[Categoria],Tabela313[[#This Row],[Categoria]],tblJaneiro12[Valor])</f>
        <v>0</v>
      </c>
      <c r="L8" s="16">
        <v>43503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SUMIF(tblJaneiro12[Categoria],Tabela313[[#This Row],[Categoria]],tblJaneiro12[Valor])</f>
        <v>0</v>
      </c>
      <c r="L9" s="16">
        <v>43504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SUMIF(tblJaneiro12[Categoria],Tabela313[[#This Row],[Categoria]],tblJaneiro12[Valor])</f>
        <v>0</v>
      </c>
      <c r="L10" s="16">
        <v>43505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SUMIF(tblJaneiro12[Categoria],Tabela313[[#This Row],[Categoria]],tblJaneiro12[Valor])</f>
        <v>0</v>
      </c>
      <c r="L11" s="16">
        <v>43506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SUMIF(tblJaneiro12[Categoria],Tabela313[[#This Row],[Categoria]],tblJaneiro12[Valor])</f>
        <v>0</v>
      </c>
      <c r="L12" s="16">
        <v>43507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SUMIF(tblJaneiro12[Categoria],Tabela313[[#This Row],[Categoria]],tblJaneiro12[Valor])</f>
        <v>0</v>
      </c>
      <c r="L13" s="16">
        <v>43508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SUMIF(tblJaneiro12[Categoria],Tabela313[[#This Row],[Categoria]],tblJaneiro12[Valor])</f>
        <v>0</v>
      </c>
      <c r="L14" s="16">
        <v>43509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SUMIF(tblJaneiro12[Categoria],Tabela313[[#This Row],[Categoria]],tblJaneiro12[Valor])</f>
        <v>0</v>
      </c>
      <c r="L15" s="16">
        <v>43510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SUMIF(tblJaneiro12[Categoria],Tabela313[[#This Row],[Categoria]],tblJaneiro12[Valor])</f>
        <v>0</v>
      </c>
      <c r="L16" s="16">
        <v>43511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SUMIF(tblJaneiro12[Categoria],Tabela313[[#This Row],[Categoria]],tblJaneiro12[Valor])</f>
        <v>0</v>
      </c>
      <c r="L17" s="16">
        <v>43512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SUMIF(tblJaneiro12[Categoria],Tabela313[[#This Row],[Categoria]],tblJaneiro12[Valor])</f>
        <v>0</v>
      </c>
      <c r="L18" s="16">
        <v>43513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SUBTOTAL(109,Tabela313[Total])</f>
        <v>0</v>
      </c>
      <c r="L19" s="16">
        <v>43514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43515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43516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43517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43518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43519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43520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43521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43522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43523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43524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M30">
        <f>SUM(M2:M29)</f>
        <v>126</v>
      </c>
    </row>
    <row r="31" spans="2:13" x14ac:dyDescent="0.25">
      <c r="B31" s="7"/>
      <c r="C31" s="9"/>
      <c r="D31" s="7"/>
      <c r="E31" s="7"/>
      <c r="F31" s="7"/>
      <c r="G31" s="7"/>
    </row>
    <row r="32" spans="2:13" x14ac:dyDescent="0.25">
      <c r="B32" s="7"/>
      <c r="C32" s="9"/>
      <c r="D32" s="7"/>
      <c r="E32" s="7"/>
      <c r="F32" s="7"/>
      <c r="G32" s="7"/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13"/>
      <c r="C34" s="9"/>
      <c r="D34" s="9"/>
      <c r="E34" s="7"/>
      <c r="F34" s="7"/>
      <c r="G34" s="7"/>
    </row>
    <row r="35" spans="2:7" x14ac:dyDescent="0.25">
      <c r="B35" s="7"/>
      <c r="C35" s="9"/>
      <c r="D35" s="9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14"/>
      <c r="C37" s="9"/>
      <c r="D37" s="7"/>
      <c r="E37" s="7"/>
      <c r="F37" s="7"/>
      <c r="G37" s="7"/>
    </row>
    <row r="38" spans="2:7" x14ac:dyDescent="0.25">
      <c r="B38" s="14"/>
      <c r="C38" s="9"/>
      <c r="D38" s="7"/>
      <c r="E38" s="7"/>
      <c r="F38" s="7"/>
      <c r="G38" s="7"/>
    </row>
    <row r="39" spans="2:7" x14ac:dyDescent="0.25">
      <c r="B39" s="14"/>
      <c r="C39" s="9"/>
      <c r="D39" s="7"/>
      <c r="E39" s="7"/>
      <c r="F39" s="7"/>
      <c r="G39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SUMIF(tblJaneiro1214[Categoria],Tabela31315[[#This Row],[Categoria]],tblJaneiro1214[Valor])</f>
        <v>0</v>
      </c>
      <c r="L2" s="16">
        <v>43525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SUMIF(tblJaneiro1214[Categoria],Tabela31315[[#This Row],[Categoria]],tblJaneiro1214[Valor])</f>
        <v>0</v>
      </c>
      <c r="L3" s="16">
        <v>43526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SUMIF(tblJaneiro1214[Categoria],Tabela31315[[#This Row],[Categoria]],tblJaneiro1214[Valor])</f>
        <v>0</v>
      </c>
      <c r="L4" s="16">
        <v>43527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SUMIF(tblJaneiro1214[Categoria],Tabela31315[[#This Row],[Categoria]],tblJaneiro1214[Valor])</f>
        <v>0</v>
      </c>
      <c r="L5" s="16">
        <v>43528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SUMIF(tblJaneiro1214[Categoria],Tabela31315[[#This Row],[Categoria]],tblJaneiro1214[Valor])</f>
        <v>0</v>
      </c>
      <c r="L6" s="16">
        <v>43529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SUMIF(tblJaneiro1214[Categoria],Tabela31315[[#This Row],[Categoria]],tblJaneiro1214[Valor])</f>
        <v>0</v>
      </c>
      <c r="L7" s="16">
        <v>43530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SUMIF(tblJaneiro1214[Categoria],Tabela31315[[#This Row],[Categoria]],tblJaneiro1214[Valor])</f>
        <v>0</v>
      </c>
      <c r="L8" s="16">
        <v>43531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SUMIF(tblJaneiro1214[Categoria],Tabela31315[[#This Row],[Categoria]],tblJaneiro1214[Valor])</f>
        <v>0</v>
      </c>
      <c r="L9" s="16">
        <v>43532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SUMIF(tblJaneiro1214[Categoria],Tabela31315[[#This Row],[Categoria]],tblJaneiro1214[Valor])</f>
        <v>0</v>
      </c>
      <c r="L10" s="16">
        <v>43533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SUMIF(tblJaneiro1214[Categoria],Tabela31315[[#This Row],[Categoria]],tblJaneiro1214[Valor])</f>
        <v>0</v>
      </c>
      <c r="L11" s="16">
        <v>43534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SUMIF(tblJaneiro1214[Categoria],Tabela31315[[#This Row],[Categoria]],tblJaneiro1214[Valor])</f>
        <v>0</v>
      </c>
      <c r="L12" s="16">
        <v>43535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SUMIF(tblJaneiro1214[Categoria],Tabela31315[[#This Row],[Categoria]],tblJaneiro1214[Valor])</f>
        <v>0</v>
      </c>
      <c r="L13" s="16">
        <v>43536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SUMIF(tblJaneiro1214[Categoria],Tabela31315[[#This Row],[Categoria]],tblJaneiro1214[Valor])</f>
        <v>0</v>
      </c>
      <c r="L14" s="16">
        <v>43537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SUMIF(tblJaneiro1214[Categoria],Tabela31315[[#This Row],[Categoria]],tblJaneiro1214[Valor])</f>
        <v>0</v>
      </c>
      <c r="L15" s="16">
        <v>43538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SUMIF(tblJaneiro1214[Categoria],Tabela31315[[#This Row],[Categoria]],tblJaneiro1214[Valor])</f>
        <v>0</v>
      </c>
      <c r="L16" s="16">
        <v>43539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SUMIF(tblJaneiro1214[Categoria],Tabela31315[[#This Row],[Categoria]],tblJaneiro1214[Valor])</f>
        <v>0</v>
      </c>
      <c r="L17" s="16">
        <v>43540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SUMIF(tblJaneiro1214[Categoria],Tabela31315[[#This Row],[Categoria]],tblJaneiro1214[Valor])</f>
        <v>0</v>
      </c>
      <c r="L18" s="16">
        <v>43541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SUBTOTAL(109,Tabela31315[Total])</f>
        <v>0</v>
      </c>
      <c r="L19" s="16">
        <v>43542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43543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43544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43545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43546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43547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43548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43549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43550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43551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43552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43553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43554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43555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  <row r="38" spans="2:13" x14ac:dyDescent="0.25">
      <c r="B38" s="14"/>
      <c r="C38" s="9"/>
      <c r="D38" s="7"/>
      <c r="E38" s="7"/>
      <c r="F38" s="7"/>
      <c r="G38" s="7"/>
    </row>
    <row r="39" spans="2:13" x14ac:dyDescent="0.25">
      <c r="B39" s="14"/>
      <c r="C39" s="9"/>
      <c r="D39" s="7"/>
      <c r="E39" s="7"/>
      <c r="F39" s="7"/>
      <c r="G39" s="7"/>
    </row>
    <row r="40" spans="2:13" x14ac:dyDescent="0.25">
      <c r="B40" s="14"/>
      <c r="C40" s="9"/>
      <c r="D40" s="7"/>
      <c r="E40" s="7"/>
      <c r="F40" s="7"/>
      <c r="G40" s="7"/>
    </row>
    <row r="41" spans="2:13" x14ac:dyDescent="0.25">
      <c r="B41" s="14"/>
      <c r="C41" s="9"/>
      <c r="D41" s="7"/>
      <c r="E41" s="7"/>
      <c r="F41" s="7"/>
      <c r="G41" s="7"/>
    </row>
    <row r="42" spans="2:13" x14ac:dyDescent="0.25">
      <c r="B42" s="14"/>
      <c r="C42" s="9"/>
      <c r="D42" s="7"/>
      <c r="E42" s="7"/>
      <c r="F42" s="7"/>
      <c r="G42" s="7"/>
    </row>
    <row r="43" spans="2:13" x14ac:dyDescent="0.25">
      <c r="B43" s="14"/>
      <c r="C43" s="9"/>
      <c r="D43" s="7"/>
      <c r="E43" s="7"/>
      <c r="F43" s="7"/>
      <c r="G43" s="7"/>
    </row>
    <row r="44" spans="2:13" x14ac:dyDescent="0.25">
      <c r="B44" s="14"/>
      <c r="C44" s="9"/>
      <c r="D44" s="7"/>
      <c r="E44" s="7"/>
      <c r="F44" s="7"/>
      <c r="G44" s="7"/>
    </row>
    <row r="45" spans="2:13" x14ac:dyDescent="0.25">
      <c r="B45" s="14"/>
      <c r="C45" s="9"/>
      <c r="D45" s="7"/>
      <c r="E45" s="7"/>
      <c r="F45" s="7"/>
      <c r="G45" s="7"/>
    </row>
    <row r="46" spans="2:13" x14ac:dyDescent="0.25">
      <c r="B46" s="14"/>
      <c r="C46" s="9"/>
      <c r="D46" s="7"/>
      <c r="E46" s="7"/>
      <c r="F46" s="7"/>
      <c r="G46" s="7"/>
    </row>
    <row r="47" spans="2:13" x14ac:dyDescent="0.25">
      <c r="B47" s="14"/>
      <c r="C47" s="9"/>
      <c r="D47" s="7"/>
      <c r="E47" s="7"/>
      <c r="F47" s="7"/>
      <c r="G47" s="7"/>
    </row>
    <row r="48" spans="2:13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SUMIF(tblJaneiro121416[Categoria],Tabela3131517[[#This Row],[Categoria]],tblJaneiro121416[Valor])</f>
        <v>0</v>
      </c>
      <c r="L2" s="16">
        <v>43556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SUMIF(tblJaneiro121416[Categoria],Tabela3131517[[#This Row],[Categoria]],tblJaneiro121416[Valor])</f>
        <v>0</v>
      </c>
      <c r="L3" s="16">
        <v>43557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SUMIF(tblJaneiro121416[Categoria],Tabela3131517[[#This Row],[Categoria]],tblJaneiro121416[Valor])</f>
        <v>0</v>
      </c>
      <c r="L4" s="16">
        <v>43558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SUMIF(tblJaneiro121416[Categoria],Tabela3131517[[#This Row],[Categoria]],tblJaneiro121416[Valor])</f>
        <v>0</v>
      </c>
      <c r="L5" s="16">
        <v>43559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SUMIF(tblJaneiro121416[Categoria],Tabela3131517[[#This Row],[Categoria]],tblJaneiro121416[Valor])</f>
        <v>0</v>
      </c>
      <c r="L6" s="16">
        <v>43560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SUMIF(tblJaneiro121416[Categoria],Tabela3131517[[#This Row],[Categoria]],tblJaneiro121416[Valor])</f>
        <v>0</v>
      </c>
      <c r="L7" s="16">
        <v>43561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SUMIF(tblJaneiro121416[Categoria],Tabela3131517[[#This Row],[Categoria]],tblJaneiro121416[Valor])</f>
        <v>0</v>
      </c>
      <c r="L8" s="16">
        <v>43562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SUMIF(tblJaneiro121416[Categoria],Tabela3131517[[#This Row],[Categoria]],tblJaneiro121416[Valor])</f>
        <v>0</v>
      </c>
      <c r="L9" s="16">
        <v>43563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SUMIF(tblJaneiro121416[Categoria],Tabela3131517[[#This Row],[Categoria]],tblJaneiro121416[Valor])</f>
        <v>0</v>
      </c>
      <c r="L10" s="16">
        <v>43564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SUMIF(tblJaneiro121416[Categoria],Tabela3131517[[#This Row],[Categoria]],tblJaneiro121416[Valor])</f>
        <v>0</v>
      </c>
      <c r="L11" s="16">
        <v>43565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SUMIF(tblJaneiro121416[Categoria],Tabela3131517[[#This Row],[Categoria]],tblJaneiro121416[Valor])</f>
        <v>0</v>
      </c>
      <c r="L12" s="16">
        <v>43566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SUMIF(tblJaneiro121416[Categoria],Tabela3131517[[#This Row],[Categoria]],tblJaneiro121416[Valor])</f>
        <v>0</v>
      </c>
      <c r="L13" s="16">
        <v>43567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SUMIF(tblJaneiro121416[Categoria],Tabela3131517[[#This Row],[Categoria]],tblJaneiro121416[Valor])</f>
        <v>0</v>
      </c>
      <c r="L14" s="16">
        <v>43568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SUMIF(tblJaneiro121416[Categoria],Tabela3131517[[#This Row],[Categoria]],tblJaneiro121416[Valor])</f>
        <v>0</v>
      </c>
      <c r="L15" s="16">
        <v>43569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SUMIF(tblJaneiro121416[Categoria],Tabela3131517[[#This Row],[Categoria]],tblJaneiro121416[Valor])</f>
        <v>0</v>
      </c>
      <c r="L16" s="16">
        <v>43570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SUMIF(tblJaneiro121416[Categoria],Tabela3131517[[#This Row],[Categoria]],tblJaneiro121416[Valor])</f>
        <v>0</v>
      </c>
      <c r="L17" s="16">
        <v>43571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SUMIF(tblJaneiro121416[Categoria],Tabela3131517[[#This Row],[Categoria]],tblJaneiro121416[Valor])</f>
        <v>0</v>
      </c>
      <c r="L18" s="16">
        <v>43572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SUBTOTAL(109,Tabela3131517[Total])</f>
        <v>0</v>
      </c>
      <c r="L19" s="16">
        <v>43573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43574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43575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43576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43577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43578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43579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43580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43581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43582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43583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43584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43585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M32">
        <f>SUM(M2:M31)</f>
        <v>135</v>
      </c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13"/>
      <c r="C34" s="9"/>
      <c r="D34" s="9"/>
      <c r="E34" s="7"/>
      <c r="F34" s="7"/>
      <c r="G34" s="7"/>
    </row>
    <row r="35" spans="2:7" x14ac:dyDescent="0.25">
      <c r="B35" s="7"/>
      <c r="C35" s="9"/>
      <c r="D35" s="9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14"/>
      <c r="C37" s="9"/>
      <c r="D37" s="7"/>
      <c r="E37" s="7"/>
      <c r="F37" s="7"/>
      <c r="G37" s="7"/>
    </row>
    <row r="38" spans="2:7" x14ac:dyDescent="0.25">
      <c r="B38" s="14"/>
      <c r="C38" s="9"/>
      <c r="D38" s="7"/>
      <c r="E38" s="7"/>
      <c r="F38" s="7"/>
      <c r="G38" s="7"/>
    </row>
    <row r="39" spans="2:7" x14ac:dyDescent="0.25">
      <c r="B39" s="14"/>
      <c r="C39" s="9"/>
      <c r="D39" s="7"/>
      <c r="E39" s="7"/>
      <c r="F39" s="7"/>
      <c r="G39" s="7"/>
    </row>
    <row r="40" spans="2:7" x14ac:dyDescent="0.25">
      <c r="B40" s="14"/>
      <c r="C40" s="9"/>
      <c r="D40" s="7"/>
      <c r="E40" s="7"/>
      <c r="F40" s="7"/>
      <c r="G40" s="7"/>
    </row>
    <row r="41" spans="2:7" x14ac:dyDescent="0.25">
      <c r="B41" s="14"/>
      <c r="C41" s="9"/>
      <c r="D41" s="7"/>
      <c r="E41" s="7"/>
      <c r="F41" s="7"/>
      <c r="G41" s="7"/>
    </row>
    <row r="42" spans="2:7" x14ac:dyDescent="0.25">
      <c r="B42" s="14"/>
      <c r="C42" s="9"/>
      <c r="D42" s="7"/>
      <c r="E42" s="7"/>
      <c r="F42" s="7"/>
      <c r="G42" s="7"/>
    </row>
    <row r="43" spans="2:7" x14ac:dyDescent="0.25">
      <c r="B43" s="14"/>
      <c r="C43" s="9"/>
      <c r="D43" s="7"/>
      <c r="E43" s="7"/>
      <c r="F43" s="7"/>
      <c r="G43" s="7"/>
    </row>
    <row r="44" spans="2:7" x14ac:dyDescent="0.25">
      <c r="B44" s="14"/>
      <c r="C44" s="9"/>
      <c r="D44" s="7"/>
      <c r="E44" s="7"/>
      <c r="F44" s="7"/>
      <c r="G44" s="7"/>
    </row>
    <row r="45" spans="2:7" x14ac:dyDescent="0.25">
      <c r="B45" s="14"/>
      <c r="C45" s="9"/>
      <c r="D45" s="7"/>
      <c r="E45" s="7"/>
      <c r="F45" s="7"/>
      <c r="G45" s="7"/>
    </row>
    <row r="46" spans="2:7" x14ac:dyDescent="0.25">
      <c r="B46" s="14"/>
      <c r="C46" s="9"/>
      <c r="D46" s="7"/>
      <c r="E46" s="7"/>
      <c r="F46" s="7"/>
      <c r="G46" s="7"/>
    </row>
    <row r="47" spans="2:7" x14ac:dyDescent="0.25">
      <c r="B47" s="14"/>
      <c r="C47" s="9"/>
      <c r="D47" s="7"/>
      <c r="E47" s="7"/>
      <c r="F47" s="7"/>
      <c r="G47" s="7"/>
    </row>
    <row r="48" spans="2:7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SUMIF(tblJaneiro12141618[Categoria],Tabela313151719[[#This Row],[Categoria]],tblJaneiro12141618[Valor])</f>
        <v>0</v>
      </c>
      <c r="L2" s="16">
        <v>43586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SUMIF(tblJaneiro12141618[Categoria],Tabela313151719[[#This Row],[Categoria]],tblJaneiro12141618[Valor])</f>
        <v>0</v>
      </c>
      <c r="L3" s="16">
        <v>43587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SUMIF(tblJaneiro12141618[Categoria],Tabela313151719[[#This Row],[Categoria]],tblJaneiro12141618[Valor])</f>
        <v>0</v>
      </c>
      <c r="L4" s="16">
        <v>43588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SUMIF(tblJaneiro12141618[Categoria],Tabela313151719[[#This Row],[Categoria]],tblJaneiro12141618[Valor])</f>
        <v>0</v>
      </c>
      <c r="L5" s="16">
        <v>43589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SUMIF(tblJaneiro12141618[Categoria],Tabela313151719[[#This Row],[Categoria]],tblJaneiro12141618[Valor])</f>
        <v>0</v>
      </c>
      <c r="L6" s="16">
        <v>43590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SUMIF(tblJaneiro12141618[Categoria],Tabela313151719[[#This Row],[Categoria]],tblJaneiro12141618[Valor])</f>
        <v>0</v>
      </c>
      <c r="L7" s="16">
        <v>43591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SUMIF(tblJaneiro12141618[Categoria],Tabela313151719[[#This Row],[Categoria]],tblJaneiro12141618[Valor])</f>
        <v>0</v>
      </c>
      <c r="L8" s="16">
        <v>43592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SUMIF(tblJaneiro12141618[Categoria],Tabela313151719[[#This Row],[Categoria]],tblJaneiro12141618[Valor])</f>
        <v>0</v>
      </c>
      <c r="L9" s="16">
        <v>43593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SUMIF(tblJaneiro12141618[Categoria],Tabela313151719[[#This Row],[Categoria]],tblJaneiro12141618[Valor])</f>
        <v>0</v>
      </c>
      <c r="L10" s="16">
        <v>43594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SUMIF(tblJaneiro12141618[Categoria],Tabela313151719[[#This Row],[Categoria]],tblJaneiro12141618[Valor])</f>
        <v>0</v>
      </c>
      <c r="L11" s="16">
        <v>43595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SUMIF(tblJaneiro12141618[Categoria],Tabela313151719[[#This Row],[Categoria]],tblJaneiro12141618[Valor])</f>
        <v>0</v>
      </c>
      <c r="L12" s="16">
        <v>43596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SUMIF(tblJaneiro12141618[Categoria],Tabela313151719[[#This Row],[Categoria]],tblJaneiro12141618[Valor])</f>
        <v>0</v>
      </c>
      <c r="L13" s="16">
        <v>43597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SUMIF(tblJaneiro12141618[Categoria],Tabela313151719[[#This Row],[Categoria]],tblJaneiro12141618[Valor])</f>
        <v>0</v>
      </c>
      <c r="L14" s="16">
        <v>43598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SUMIF(tblJaneiro12141618[Categoria],Tabela313151719[[#This Row],[Categoria]],tblJaneiro12141618[Valor])</f>
        <v>0</v>
      </c>
      <c r="L15" s="16">
        <v>43599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SUMIF(tblJaneiro12141618[Categoria],Tabela313151719[[#This Row],[Categoria]],tblJaneiro12141618[Valor])</f>
        <v>0</v>
      </c>
      <c r="L16" s="16">
        <v>43600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SUMIF(tblJaneiro12141618[Categoria],Tabela313151719[[#This Row],[Categoria]],tblJaneiro12141618[Valor])</f>
        <v>0</v>
      </c>
      <c r="L17" s="16">
        <v>43601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SUMIF(tblJaneiro12141618[Categoria],Tabela313151719[[#This Row],[Categoria]],tblJaneiro12141618[Valor])</f>
        <v>0</v>
      </c>
      <c r="L18" s="16">
        <v>43602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SUBTOTAL(109,Tabela313151719[Total])</f>
        <v>0</v>
      </c>
      <c r="L19" s="16">
        <v>43603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43604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43605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43606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43607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43608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43609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43610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43611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43612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43613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43614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43615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43616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  <row r="38" spans="2:13" x14ac:dyDescent="0.25">
      <c r="B38" s="14"/>
      <c r="C38" s="9"/>
      <c r="D38" s="7"/>
      <c r="E38" s="7"/>
      <c r="F38" s="7"/>
      <c r="G38" s="7"/>
    </row>
    <row r="39" spans="2:13" x14ac:dyDescent="0.25">
      <c r="B39" s="14"/>
      <c r="C39" s="9"/>
      <c r="D39" s="7"/>
      <c r="E39" s="7"/>
      <c r="F39" s="7"/>
      <c r="G39" s="7"/>
    </row>
    <row r="40" spans="2:13" x14ac:dyDescent="0.25">
      <c r="B40" s="14"/>
      <c r="C40" s="9"/>
      <c r="D40" s="7"/>
      <c r="E40" s="7"/>
      <c r="F40" s="7"/>
      <c r="G40" s="7"/>
    </row>
    <row r="41" spans="2:13" x14ac:dyDescent="0.25">
      <c r="B41" s="14"/>
      <c r="C41" s="9"/>
      <c r="D41" s="7"/>
      <c r="E41" s="7"/>
      <c r="F41" s="7"/>
      <c r="G41" s="7"/>
    </row>
    <row r="42" spans="2:13" x14ac:dyDescent="0.25">
      <c r="B42" s="14"/>
      <c r="C42" s="9"/>
      <c r="D42" s="7"/>
      <c r="E42" s="7"/>
      <c r="F42" s="7"/>
      <c r="G42" s="7"/>
    </row>
    <row r="43" spans="2:13" x14ac:dyDescent="0.25">
      <c r="B43" s="14"/>
      <c r="C43" s="9"/>
      <c r="D43" s="7"/>
      <c r="E43" s="7"/>
      <c r="F43" s="7"/>
      <c r="G43" s="7"/>
    </row>
    <row r="44" spans="2:13" x14ac:dyDescent="0.25">
      <c r="B44" s="14"/>
      <c r="C44" s="9"/>
      <c r="D44" s="7"/>
      <c r="E44" s="7"/>
      <c r="F44" s="7"/>
      <c r="G44" s="7"/>
    </row>
    <row r="45" spans="2:13" x14ac:dyDescent="0.25">
      <c r="B45" s="14"/>
      <c r="C45" s="9"/>
      <c r="D45" s="7"/>
      <c r="E45" s="7"/>
      <c r="F45" s="7"/>
      <c r="G45" s="7"/>
    </row>
    <row r="46" spans="2:13" x14ac:dyDescent="0.25">
      <c r="B46" s="14"/>
      <c r="C46" s="9"/>
      <c r="D46" s="7"/>
      <c r="E46" s="7"/>
      <c r="F46" s="7"/>
      <c r="G46" s="7"/>
    </row>
    <row r="47" spans="2:13" x14ac:dyDescent="0.25">
      <c r="B47" s="14"/>
      <c r="C47" s="9"/>
      <c r="D47" s="7"/>
      <c r="E47" s="7"/>
      <c r="F47" s="7"/>
      <c r="G47" s="7"/>
    </row>
    <row r="48" spans="2:13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  <row r="73" spans="2:7" x14ac:dyDescent="0.25">
      <c r="B73" s="14"/>
      <c r="C73" s="9"/>
      <c r="D73" s="7"/>
      <c r="E73" s="7"/>
      <c r="F73" s="7"/>
      <c r="G73" s="7"/>
    </row>
    <row r="74" spans="2:7" x14ac:dyDescent="0.25">
      <c r="B74" s="14"/>
      <c r="C74" s="9"/>
      <c r="D74" s="7"/>
      <c r="E74" s="7"/>
      <c r="F74" s="7"/>
      <c r="G74" s="7"/>
    </row>
    <row r="75" spans="2:7" x14ac:dyDescent="0.25">
      <c r="B75" s="14"/>
      <c r="C75" s="9"/>
      <c r="D75" s="7"/>
      <c r="E75" s="7"/>
      <c r="F75" s="7"/>
      <c r="G75" s="7"/>
    </row>
    <row r="76" spans="2:7" x14ac:dyDescent="0.25">
      <c r="B76" s="14"/>
      <c r="C76" s="9"/>
      <c r="D76" s="7"/>
      <c r="E76" s="7"/>
      <c r="F76" s="7"/>
      <c r="G76" s="7"/>
    </row>
    <row r="77" spans="2:7" x14ac:dyDescent="0.25">
      <c r="B77" s="14"/>
      <c r="C77" s="9"/>
      <c r="D77" s="7"/>
      <c r="E77" s="7"/>
      <c r="F77" s="7"/>
      <c r="G77" s="7"/>
    </row>
    <row r="78" spans="2:7" x14ac:dyDescent="0.25">
      <c r="B78" s="14"/>
      <c r="C78" s="9"/>
      <c r="D78" s="7"/>
      <c r="E78" s="7"/>
      <c r="F78" s="7"/>
      <c r="G78" s="7"/>
    </row>
    <row r="79" spans="2:7" x14ac:dyDescent="0.25">
      <c r="B79" s="14"/>
      <c r="C79" s="9"/>
      <c r="D79" s="7"/>
      <c r="E79" s="7"/>
      <c r="F79" s="7"/>
      <c r="G79" s="7"/>
    </row>
    <row r="80" spans="2:7" x14ac:dyDescent="0.25">
      <c r="B80" s="14"/>
      <c r="C80" s="9"/>
      <c r="D80" s="7"/>
      <c r="E80" s="7"/>
      <c r="F80" s="7"/>
      <c r="G80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SUMIF(tblJaneiro1214161820[Categoria],Tabela31315171921[[#This Row],[Categoria]],tblJaneiro1214161820[Valor])</f>
        <v>0</v>
      </c>
      <c r="L2" s="16">
        <v>43617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SUMIF(tblJaneiro1214161820[Categoria],Tabela31315171921[[#This Row],[Categoria]],tblJaneiro1214161820[Valor])</f>
        <v>0</v>
      </c>
      <c r="L3" s="16">
        <v>43618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SUMIF(tblJaneiro1214161820[Categoria],Tabela31315171921[[#This Row],[Categoria]],tblJaneiro1214161820[Valor])</f>
        <v>0</v>
      </c>
      <c r="L4" s="16">
        <v>43619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SUMIF(tblJaneiro1214161820[Categoria],Tabela31315171921[[#This Row],[Categoria]],tblJaneiro1214161820[Valor])</f>
        <v>0</v>
      </c>
      <c r="L5" s="16">
        <v>43620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SUMIF(tblJaneiro1214161820[Categoria],Tabela31315171921[[#This Row],[Categoria]],tblJaneiro1214161820[Valor])</f>
        <v>0</v>
      </c>
      <c r="L6" s="16">
        <v>43621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SUMIF(tblJaneiro1214161820[Categoria],Tabela31315171921[[#This Row],[Categoria]],tblJaneiro1214161820[Valor])</f>
        <v>0</v>
      </c>
      <c r="L7" s="16">
        <v>43622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SUMIF(tblJaneiro1214161820[Categoria],Tabela31315171921[[#This Row],[Categoria]],tblJaneiro1214161820[Valor])</f>
        <v>0</v>
      </c>
      <c r="L8" s="16">
        <v>43623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SUMIF(tblJaneiro1214161820[Categoria],Tabela31315171921[[#This Row],[Categoria]],tblJaneiro1214161820[Valor])</f>
        <v>0</v>
      </c>
      <c r="L9" s="16">
        <v>43624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SUMIF(tblJaneiro1214161820[Categoria],Tabela31315171921[[#This Row],[Categoria]],tblJaneiro1214161820[Valor])</f>
        <v>0</v>
      </c>
      <c r="L10" s="16">
        <v>43625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SUMIF(tblJaneiro1214161820[Categoria],Tabela31315171921[[#This Row],[Categoria]],tblJaneiro1214161820[Valor])</f>
        <v>0</v>
      </c>
      <c r="L11" s="16">
        <v>43626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SUMIF(tblJaneiro1214161820[Categoria],Tabela31315171921[[#This Row],[Categoria]],tblJaneiro1214161820[Valor])</f>
        <v>0</v>
      </c>
      <c r="L12" s="16">
        <v>43627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SUMIF(tblJaneiro1214161820[Categoria],Tabela31315171921[[#This Row],[Categoria]],tblJaneiro1214161820[Valor])</f>
        <v>0</v>
      </c>
      <c r="L13" s="16">
        <v>43628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SUMIF(tblJaneiro1214161820[Categoria],Tabela31315171921[[#This Row],[Categoria]],tblJaneiro1214161820[Valor])</f>
        <v>0</v>
      </c>
      <c r="L14" s="16">
        <v>43629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SUMIF(tblJaneiro1214161820[Categoria],Tabela31315171921[[#This Row],[Categoria]],tblJaneiro1214161820[Valor])</f>
        <v>0</v>
      </c>
      <c r="L15" s="16">
        <v>43630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SUMIF(tblJaneiro1214161820[Categoria],Tabela31315171921[[#This Row],[Categoria]],tblJaneiro1214161820[Valor])</f>
        <v>0</v>
      </c>
      <c r="L16" s="16">
        <v>43631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SUMIF(tblJaneiro1214161820[Categoria],Tabela31315171921[[#This Row],[Categoria]],tblJaneiro1214161820[Valor])</f>
        <v>0</v>
      </c>
      <c r="L17" s="16">
        <v>43632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SUMIF(tblJaneiro1214161820[Categoria],Tabela31315171921[[#This Row],[Categoria]],tblJaneiro1214161820[Valor])</f>
        <v>0</v>
      </c>
      <c r="L18" s="16">
        <v>43633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SUBTOTAL(109,Tabela31315171921[Total])</f>
        <v>0</v>
      </c>
      <c r="L19" s="16">
        <v>43634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43635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43636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43637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43638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43639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43640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43641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43642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43643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43644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43645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43646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M32">
        <f>SUM(M2:M31)</f>
        <v>135</v>
      </c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13"/>
      <c r="C34" s="9"/>
      <c r="D34" s="9"/>
      <c r="E34" s="7"/>
      <c r="F34" s="7"/>
      <c r="G34" s="7"/>
    </row>
    <row r="35" spans="2:7" x14ac:dyDescent="0.25">
      <c r="B35" s="7"/>
      <c r="C35" s="9"/>
      <c r="D35" s="9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14"/>
      <c r="C37" s="9"/>
      <c r="D37" s="7"/>
      <c r="E37" s="7"/>
      <c r="F37" s="7"/>
      <c r="G37" s="7"/>
    </row>
    <row r="38" spans="2:7" x14ac:dyDescent="0.25">
      <c r="B38" s="14"/>
      <c r="C38" s="9"/>
      <c r="D38" s="7"/>
      <c r="E38" s="7"/>
      <c r="F38" s="7"/>
      <c r="G38" s="7"/>
    </row>
    <row r="39" spans="2:7" x14ac:dyDescent="0.25">
      <c r="B39" s="14"/>
      <c r="C39" s="9"/>
      <c r="D39" s="7"/>
      <c r="E39" s="7"/>
      <c r="F39" s="7"/>
      <c r="G39" s="7"/>
    </row>
    <row r="40" spans="2:7" x14ac:dyDescent="0.25">
      <c r="B40" s="14"/>
      <c r="C40" s="9"/>
      <c r="D40" s="7"/>
      <c r="E40" s="7"/>
      <c r="F40" s="7"/>
      <c r="G40" s="7"/>
    </row>
    <row r="41" spans="2:7" x14ac:dyDescent="0.25">
      <c r="B41" s="14"/>
      <c r="C41" s="9"/>
      <c r="D41" s="7"/>
      <c r="E41" s="7"/>
      <c r="F41" s="7"/>
      <c r="G41" s="7"/>
    </row>
    <row r="42" spans="2:7" x14ac:dyDescent="0.25">
      <c r="B42" s="14"/>
      <c r="C42" s="9"/>
      <c r="D42" s="7"/>
      <c r="E42" s="7"/>
      <c r="F42" s="7"/>
      <c r="G42" s="7"/>
    </row>
    <row r="43" spans="2:7" x14ac:dyDescent="0.25">
      <c r="B43" s="14"/>
      <c r="C43" s="9"/>
      <c r="D43" s="7"/>
      <c r="E43" s="7"/>
      <c r="F43" s="7"/>
      <c r="G43" s="7"/>
    </row>
    <row r="44" spans="2:7" x14ac:dyDescent="0.25">
      <c r="B44" s="14"/>
      <c r="C44" s="9"/>
      <c r="D44" s="7"/>
      <c r="E44" s="7"/>
      <c r="F44" s="7"/>
      <c r="G44" s="7"/>
    </row>
    <row r="45" spans="2:7" x14ac:dyDescent="0.25">
      <c r="B45" s="14"/>
      <c r="C45" s="9"/>
      <c r="D45" s="7"/>
      <c r="E45" s="7"/>
      <c r="F45" s="7"/>
      <c r="G45" s="7"/>
    </row>
    <row r="46" spans="2:7" x14ac:dyDescent="0.25">
      <c r="B46" s="14"/>
      <c r="C46" s="9"/>
      <c r="D46" s="7"/>
      <c r="E46" s="7"/>
      <c r="F46" s="7"/>
      <c r="G46" s="7"/>
    </row>
    <row r="47" spans="2:7" x14ac:dyDescent="0.25">
      <c r="B47" s="14"/>
      <c r="C47" s="9"/>
      <c r="D47" s="7"/>
      <c r="E47" s="7"/>
      <c r="F47" s="7"/>
      <c r="G47" s="7"/>
    </row>
    <row r="48" spans="2:7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  <row r="73" spans="2:7" x14ac:dyDescent="0.25">
      <c r="B73" s="14"/>
      <c r="C73" s="9"/>
      <c r="D73" s="7"/>
      <c r="E73" s="7"/>
      <c r="F73" s="7"/>
      <c r="G73" s="7"/>
    </row>
    <row r="74" spans="2:7" x14ac:dyDescent="0.25">
      <c r="B74" s="14"/>
      <c r="C74" s="9"/>
      <c r="D74" s="7"/>
      <c r="E74" s="7"/>
      <c r="F74" s="7"/>
      <c r="G74" s="7"/>
    </row>
    <row r="75" spans="2:7" x14ac:dyDescent="0.25">
      <c r="B75" s="14"/>
      <c r="C75" s="9"/>
      <c r="D75" s="7"/>
      <c r="E75" s="7"/>
      <c r="F75" s="7"/>
      <c r="G75" s="7"/>
    </row>
    <row r="76" spans="2:7" x14ac:dyDescent="0.25">
      <c r="B76" s="14"/>
      <c r="C76" s="9"/>
      <c r="D76" s="7"/>
      <c r="E76" s="7"/>
      <c r="F76" s="7"/>
      <c r="G76" s="7"/>
    </row>
    <row r="77" spans="2:7" x14ac:dyDescent="0.25">
      <c r="B77" s="14"/>
      <c r="C77" s="9"/>
      <c r="D77" s="7"/>
      <c r="E77" s="7"/>
      <c r="F77" s="7"/>
      <c r="G77" s="7"/>
    </row>
    <row r="78" spans="2:7" x14ac:dyDescent="0.25">
      <c r="B78" s="14"/>
      <c r="C78" s="9"/>
      <c r="D78" s="7"/>
      <c r="E78" s="7"/>
      <c r="F78" s="7"/>
      <c r="G78" s="7"/>
    </row>
    <row r="79" spans="2:7" x14ac:dyDescent="0.25">
      <c r="B79" s="14"/>
      <c r="C79" s="9"/>
      <c r="D79" s="7"/>
      <c r="E79" s="7"/>
      <c r="F79" s="7"/>
      <c r="G79" s="7"/>
    </row>
    <row r="80" spans="2:7" x14ac:dyDescent="0.25">
      <c r="B80" s="14"/>
      <c r="C80" s="9"/>
      <c r="D80" s="7"/>
      <c r="E80" s="7"/>
      <c r="F80" s="7"/>
      <c r="G80" s="7"/>
    </row>
    <row r="81" spans="2:7" x14ac:dyDescent="0.25">
      <c r="B81" s="14"/>
      <c r="C81" s="9"/>
      <c r="D81" s="7"/>
      <c r="E81" s="7"/>
      <c r="F81" s="7"/>
      <c r="G81" s="7"/>
    </row>
    <row r="82" spans="2:7" x14ac:dyDescent="0.25">
      <c r="B82" s="14"/>
      <c r="C82" s="9"/>
      <c r="D82" s="7"/>
      <c r="E82" s="7"/>
      <c r="F82" s="7"/>
      <c r="G82" s="7"/>
    </row>
    <row r="83" spans="2:7" x14ac:dyDescent="0.25">
      <c r="B83" s="14"/>
      <c r="C83" s="9"/>
      <c r="D83" s="7"/>
      <c r="E83" s="7"/>
      <c r="F83" s="7"/>
      <c r="G83" s="7"/>
    </row>
    <row r="84" spans="2:7" x14ac:dyDescent="0.25">
      <c r="B84" s="14"/>
      <c r="C84" s="9"/>
      <c r="D84" s="7"/>
      <c r="E84" s="7"/>
      <c r="F84" s="7"/>
      <c r="G84" s="7"/>
    </row>
    <row r="85" spans="2:7" x14ac:dyDescent="0.25">
      <c r="B85" s="14"/>
      <c r="C85" s="9"/>
      <c r="D85" s="7"/>
      <c r="E85" s="7"/>
      <c r="F85" s="7"/>
      <c r="G85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SUMIF(tblJaneiro121416182022[Categoria],Tabela3131517192123[[#This Row],[Categoria]],tblJaneiro121416182022[Valor])</f>
        <v>0</v>
      </c>
      <c r="L2" s="16">
        <v>43647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SUMIF(tblJaneiro121416182022[Categoria],Tabela3131517192123[[#This Row],[Categoria]],tblJaneiro121416182022[Valor])</f>
        <v>0</v>
      </c>
      <c r="L3" s="16">
        <v>43648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SUMIF(tblJaneiro121416182022[Categoria],Tabela3131517192123[[#This Row],[Categoria]],tblJaneiro121416182022[Valor])</f>
        <v>0</v>
      </c>
      <c r="L4" s="16">
        <v>43649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SUMIF(tblJaneiro121416182022[Categoria],Tabela3131517192123[[#This Row],[Categoria]],tblJaneiro121416182022[Valor])</f>
        <v>0</v>
      </c>
      <c r="L5" s="16">
        <v>43650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SUMIF(tblJaneiro121416182022[Categoria],Tabela3131517192123[[#This Row],[Categoria]],tblJaneiro121416182022[Valor])</f>
        <v>0</v>
      </c>
      <c r="L6" s="16">
        <v>43651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SUMIF(tblJaneiro121416182022[Categoria],Tabela3131517192123[[#This Row],[Categoria]],tblJaneiro121416182022[Valor])</f>
        <v>0</v>
      </c>
      <c r="L7" s="16">
        <v>43652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SUMIF(tblJaneiro121416182022[Categoria],Tabela3131517192123[[#This Row],[Categoria]],tblJaneiro121416182022[Valor])</f>
        <v>0</v>
      </c>
      <c r="L8" s="16">
        <v>43653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SUMIF(tblJaneiro121416182022[Categoria],Tabela3131517192123[[#This Row],[Categoria]],tblJaneiro121416182022[Valor])</f>
        <v>0</v>
      </c>
      <c r="L9" s="16">
        <v>43654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SUMIF(tblJaneiro121416182022[Categoria],Tabela3131517192123[[#This Row],[Categoria]],tblJaneiro121416182022[Valor])</f>
        <v>0</v>
      </c>
      <c r="L10" s="16">
        <v>43655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SUMIF(tblJaneiro121416182022[Categoria],Tabela3131517192123[[#This Row],[Categoria]],tblJaneiro121416182022[Valor])</f>
        <v>0</v>
      </c>
      <c r="L11" s="16">
        <v>43656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SUMIF(tblJaneiro121416182022[Categoria],Tabela3131517192123[[#This Row],[Categoria]],tblJaneiro121416182022[Valor])</f>
        <v>0</v>
      </c>
      <c r="L12" s="16">
        <v>43657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SUMIF(tblJaneiro121416182022[Categoria],Tabela3131517192123[[#This Row],[Categoria]],tblJaneiro121416182022[Valor])</f>
        <v>0</v>
      </c>
      <c r="L13" s="16">
        <v>43658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SUMIF(tblJaneiro121416182022[Categoria],Tabela3131517192123[[#This Row],[Categoria]],tblJaneiro121416182022[Valor])</f>
        <v>0</v>
      </c>
      <c r="L14" s="16">
        <v>43659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SUMIF(tblJaneiro121416182022[Categoria],Tabela3131517192123[[#This Row],[Categoria]],tblJaneiro121416182022[Valor])</f>
        <v>0</v>
      </c>
      <c r="L15" s="16">
        <v>43660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SUMIF(tblJaneiro121416182022[Categoria],Tabela3131517192123[[#This Row],[Categoria]],tblJaneiro121416182022[Valor])</f>
        <v>0</v>
      </c>
      <c r="L16" s="16">
        <v>43661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SUMIF(tblJaneiro121416182022[Categoria],Tabela3131517192123[[#This Row],[Categoria]],tblJaneiro121416182022[Valor])</f>
        <v>0</v>
      </c>
      <c r="L17" s="16">
        <v>43662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SUMIF(tblJaneiro121416182022[Categoria],Tabela3131517192123[[#This Row],[Categoria]],tblJaneiro121416182022[Valor])</f>
        <v>0</v>
      </c>
      <c r="L18" s="16">
        <v>43663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SUBTOTAL(109,Tabela3131517192123[Total])</f>
        <v>0</v>
      </c>
      <c r="L19" s="16">
        <v>43664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43665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43666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43667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43668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43669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43670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43671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43672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43673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43674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43675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43676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43677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  <row r="38" spans="2:13" x14ac:dyDescent="0.25">
      <c r="B38" s="14"/>
      <c r="C38" s="9"/>
      <c r="D38" s="7"/>
      <c r="E38" s="7"/>
      <c r="F38" s="7"/>
      <c r="G38" s="7"/>
    </row>
    <row r="39" spans="2:13" x14ac:dyDescent="0.25">
      <c r="B39" s="14"/>
      <c r="C39" s="9"/>
      <c r="D39" s="7"/>
      <c r="E39" s="7"/>
      <c r="F39" s="7"/>
      <c r="G39" s="7"/>
    </row>
    <row r="40" spans="2:13" x14ac:dyDescent="0.25">
      <c r="B40" s="14"/>
      <c r="C40" s="9"/>
      <c r="D40" s="7"/>
      <c r="E40" s="7"/>
      <c r="F40" s="7"/>
      <c r="G40" s="7"/>
    </row>
    <row r="41" spans="2:13" x14ac:dyDescent="0.25">
      <c r="B41" s="14"/>
      <c r="C41" s="9"/>
      <c r="D41" s="7"/>
      <c r="E41" s="7"/>
      <c r="F41" s="7"/>
      <c r="G41" s="7"/>
    </row>
    <row r="42" spans="2:13" x14ac:dyDescent="0.25">
      <c r="B42" s="14"/>
      <c r="C42" s="9"/>
      <c r="D42" s="7"/>
      <c r="E42" s="7"/>
      <c r="F42" s="7"/>
      <c r="G42" s="7"/>
    </row>
    <row r="43" spans="2:13" x14ac:dyDescent="0.25">
      <c r="B43" s="14"/>
      <c r="C43" s="9"/>
      <c r="D43" s="7"/>
      <c r="E43" s="7"/>
      <c r="F43" s="7"/>
      <c r="G43" s="7"/>
    </row>
    <row r="44" spans="2:13" x14ac:dyDescent="0.25">
      <c r="B44" s="14"/>
      <c r="C44" s="9"/>
      <c r="D44" s="7"/>
      <c r="E44" s="7"/>
      <c r="F44" s="7"/>
      <c r="G44" s="7"/>
    </row>
    <row r="45" spans="2:13" x14ac:dyDescent="0.25">
      <c r="B45" s="14"/>
      <c r="C45" s="9"/>
      <c r="D45" s="7"/>
      <c r="E45" s="7"/>
      <c r="F45" s="7"/>
      <c r="G45" s="7"/>
    </row>
    <row r="46" spans="2:13" x14ac:dyDescent="0.25">
      <c r="B46" s="14"/>
      <c r="C46" s="9"/>
      <c r="D46" s="7"/>
      <c r="E46" s="7"/>
      <c r="F46" s="7"/>
      <c r="G46" s="7"/>
    </row>
    <row r="47" spans="2:13" x14ac:dyDescent="0.25">
      <c r="B47" s="14"/>
      <c r="C47" s="9"/>
      <c r="D47" s="7"/>
      <c r="E47" s="7"/>
      <c r="F47" s="7"/>
      <c r="G47" s="7"/>
    </row>
    <row r="48" spans="2:13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SUMIF(tblJaneiro1214161820226[Categoria],Tabela31315171921238[[#This Row],[Categoria]],tblJaneiro1214161820226[Valor])</f>
        <v>0</v>
      </c>
      <c r="L2" s="16">
        <v>43678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SUMIF(tblJaneiro1214161820226[Categoria],Tabela31315171921238[[#This Row],[Categoria]],tblJaneiro1214161820226[Valor])</f>
        <v>0</v>
      </c>
      <c r="L3" s="16">
        <v>43679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SUMIF(tblJaneiro1214161820226[Categoria],Tabela31315171921238[[#This Row],[Categoria]],tblJaneiro1214161820226[Valor])</f>
        <v>0</v>
      </c>
      <c r="L4" s="16">
        <v>43680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SUMIF(tblJaneiro1214161820226[Categoria],Tabela31315171921238[[#This Row],[Categoria]],tblJaneiro1214161820226[Valor])</f>
        <v>0</v>
      </c>
      <c r="L5" s="16">
        <v>43681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SUMIF(tblJaneiro1214161820226[Categoria],Tabela31315171921238[[#This Row],[Categoria]],tblJaneiro1214161820226[Valor])</f>
        <v>0</v>
      </c>
      <c r="L6" s="16">
        <v>43682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SUMIF(tblJaneiro1214161820226[Categoria],Tabela31315171921238[[#This Row],[Categoria]],tblJaneiro1214161820226[Valor])</f>
        <v>0</v>
      </c>
      <c r="L7" s="16">
        <v>43683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SUMIF(tblJaneiro1214161820226[Categoria],Tabela31315171921238[[#This Row],[Categoria]],tblJaneiro1214161820226[Valor])</f>
        <v>0</v>
      </c>
      <c r="L8" s="16">
        <v>43684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SUMIF(tblJaneiro1214161820226[Categoria],Tabela31315171921238[[#This Row],[Categoria]],tblJaneiro1214161820226[Valor])</f>
        <v>0</v>
      </c>
      <c r="L9" s="16">
        <v>43685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SUMIF(tblJaneiro1214161820226[Categoria],Tabela31315171921238[[#This Row],[Categoria]],tblJaneiro1214161820226[Valor])</f>
        <v>0</v>
      </c>
      <c r="L10" s="16">
        <v>43686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SUMIF(tblJaneiro1214161820226[Categoria],Tabela31315171921238[[#This Row],[Categoria]],tblJaneiro1214161820226[Valor])</f>
        <v>0</v>
      </c>
      <c r="L11" s="16">
        <v>43687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SUMIF(tblJaneiro1214161820226[Categoria],Tabela31315171921238[[#This Row],[Categoria]],tblJaneiro1214161820226[Valor])</f>
        <v>0</v>
      </c>
      <c r="L12" s="16">
        <v>43688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SUMIF(tblJaneiro1214161820226[Categoria],Tabela31315171921238[[#This Row],[Categoria]],tblJaneiro1214161820226[Valor])</f>
        <v>0</v>
      </c>
      <c r="L13" s="16">
        <v>43689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SUMIF(tblJaneiro1214161820226[Categoria],Tabela31315171921238[[#This Row],[Categoria]],tblJaneiro1214161820226[Valor])</f>
        <v>0</v>
      </c>
      <c r="L14" s="16">
        <v>43690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SUMIF(tblJaneiro1214161820226[Categoria],Tabela31315171921238[[#This Row],[Categoria]],tblJaneiro1214161820226[Valor])</f>
        <v>0</v>
      </c>
      <c r="L15" s="16">
        <v>43691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SUMIF(tblJaneiro1214161820226[Categoria],Tabela31315171921238[[#This Row],[Categoria]],tblJaneiro1214161820226[Valor])</f>
        <v>0</v>
      </c>
      <c r="L16" s="16">
        <v>43692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SUMIF(tblJaneiro1214161820226[Categoria],Tabela31315171921238[[#This Row],[Categoria]],tblJaneiro1214161820226[Valor])</f>
        <v>0</v>
      </c>
      <c r="L17" s="16">
        <v>43693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SUMIF(tblJaneiro1214161820226[Categoria],Tabela31315171921238[[#This Row],[Categoria]],tblJaneiro1214161820226[Valor])</f>
        <v>0</v>
      </c>
      <c r="L18" s="16">
        <v>43694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SUBTOTAL(109,Tabela31315171921238[Total])</f>
        <v>0</v>
      </c>
      <c r="L19" s="16">
        <v>43695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43696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43697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43698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43699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43700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43701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43702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43703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43704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43705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43706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43707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43708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  <row r="38" spans="2:13" x14ac:dyDescent="0.25">
      <c r="B38" s="14"/>
      <c r="C38" s="9"/>
      <c r="D38" s="7"/>
      <c r="E38" s="7"/>
      <c r="F38" s="7"/>
      <c r="G38" s="7"/>
    </row>
    <row r="39" spans="2:13" x14ac:dyDescent="0.25">
      <c r="B39" s="14"/>
      <c r="C39" s="9"/>
      <c r="D39" s="7"/>
      <c r="E39" s="7"/>
      <c r="F39" s="7"/>
      <c r="G39" s="7"/>
    </row>
    <row r="40" spans="2:13" x14ac:dyDescent="0.25">
      <c r="B40" s="14"/>
      <c r="C40" s="9"/>
      <c r="D40" s="7"/>
      <c r="E40" s="7"/>
      <c r="F40" s="7"/>
      <c r="G40" s="7"/>
    </row>
    <row r="41" spans="2:13" x14ac:dyDescent="0.25">
      <c r="B41" s="14"/>
      <c r="C41" s="9"/>
      <c r="D41" s="7"/>
      <c r="E41" s="7"/>
      <c r="F41" s="7"/>
      <c r="G41" s="7"/>
    </row>
    <row r="42" spans="2:13" x14ac:dyDescent="0.25">
      <c r="B42" s="14"/>
      <c r="C42" s="9"/>
      <c r="D42" s="7"/>
      <c r="E42" s="7"/>
      <c r="F42" s="7"/>
      <c r="G42" s="7"/>
    </row>
    <row r="43" spans="2:13" x14ac:dyDescent="0.25">
      <c r="B43" s="14"/>
      <c r="C43" s="9"/>
      <c r="D43" s="7"/>
      <c r="E43" s="7"/>
      <c r="F43" s="7"/>
      <c r="G43" s="7"/>
    </row>
    <row r="44" spans="2:13" x14ac:dyDescent="0.25">
      <c r="B44" s="14"/>
      <c r="C44" s="9"/>
      <c r="D44" s="7"/>
      <c r="E44" s="7"/>
      <c r="F44" s="7"/>
      <c r="G44" s="7"/>
    </row>
    <row r="45" spans="2:13" x14ac:dyDescent="0.25">
      <c r="B45" s="14"/>
      <c r="C45" s="9"/>
      <c r="D45" s="7"/>
      <c r="E45" s="7"/>
      <c r="F45" s="7"/>
      <c r="G45" s="7"/>
    </row>
    <row r="46" spans="2:13" x14ac:dyDescent="0.25">
      <c r="B46" s="14"/>
      <c r="C46" s="9"/>
      <c r="D46" s="7"/>
      <c r="E46" s="7"/>
      <c r="F46" s="7"/>
      <c r="G46" s="7"/>
    </row>
    <row r="47" spans="2:13" x14ac:dyDescent="0.25">
      <c r="B47" s="14"/>
      <c r="C47" s="9"/>
      <c r="D47" s="7"/>
      <c r="E47" s="7"/>
      <c r="F47" s="7"/>
      <c r="G47" s="7"/>
    </row>
    <row r="48" spans="2:13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  <row r="73" spans="2:7" x14ac:dyDescent="0.25">
      <c r="B73" s="14"/>
      <c r="C73" s="9"/>
      <c r="D73" s="7"/>
      <c r="E73" s="7"/>
      <c r="F73" s="7"/>
      <c r="G73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D2" sqref="D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0" x14ac:dyDescent="0.25">
      <c r="A2" t="s">
        <v>28</v>
      </c>
      <c r="B2" s="7">
        <v>0.9</v>
      </c>
      <c r="C2" s="9">
        <v>44820</v>
      </c>
      <c r="D2" s="7"/>
      <c r="E2" s="7"/>
      <c r="F2" s="7"/>
      <c r="G2" s="7"/>
      <c r="I2" t="s">
        <v>1</v>
      </c>
      <c r="J2" s="7">
        <f>SUMIF(tblJaneiro12141618202269[Categoria],Tabela3131517192123824[[#This Row],[Categoria]],tblJaneiro12141618202269[Valor])</f>
        <v>0</v>
      </c>
    </row>
    <row r="3" spans="1:10" x14ac:dyDescent="0.25">
      <c r="B3" s="7"/>
      <c r="C3" s="9"/>
      <c r="D3" s="7"/>
      <c r="E3" s="7"/>
      <c r="F3" s="7"/>
      <c r="G3" s="7"/>
      <c r="I3" t="s">
        <v>2</v>
      </c>
      <c r="J3" s="7">
        <f>SUMIF(tblJaneiro12141618202269[Categoria],Tabela3131517192123824[[#This Row],[Categoria]],tblJaneiro12141618202269[Valor])</f>
        <v>0</v>
      </c>
    </row>
    <row r="4" spans="1:10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SUMIF(tblJaneiro12141618202269[Categoria],Tabela3131517192123824[[#This Row],[Categoria]],tblJaneiro12141618202269[Valor])</f>
        <v>0</v>
      </c>
    </row>
    <row r="5" spans="1:10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SUMIF(tblJaneiro12141618202269[Categoria],Tabela3131517192123824[[#This Row],[Categoria]],tblJaneiro12141618202269[Valor])</f>
        <v>0</v>
      </c>
    </row>
    <row r="6" spans="1:10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SUMIF(tblJaneiro12141618202269[Categoria],Tabela3131517192123824[[#This Row],[Categoria]],tblJaneiro12141618202269[Valor])</f>
        <v>0</v>
      </c>
    </row>
    <row r="7" spans="1:10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SUMIF(tblJaneiro12141618202269[Categoria],Tabela3131517192123824[[#This Row],[Categoria]],tblJaneiro12141618202269[Valor])</f>
        <v>0.9</v>
      </c>
    </row>
    <row r="8" spans="1:10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SUMIF(tblJaneiro12141618202269[Categoria],Tabela3131517192123824[[#This Row],[Categoria]],tblJaneiro12141618202269[Valor])</f>
        <v>0</v>
      </c>
    </row>
    <row r="9" spans="1:10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SUMIF(tblJaneiro12141618202269[Categoria],Tabela3131517192123824[[#This Row],[Categoria]],tblJaneiro12141618202269[Valor])</f>
        <v>0</v>
      </c>
    </row>
    <row r="10" spans="1:10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SUMIF(tblJaneiro12141618202269[Categoria],Tabela3131517192123824[[#This Row],[Categoria]],tblJaneiro12141618202269[Valor])</f>
        <v>0</v>
      </c>
    </row>
    <row r="11" spans="1:10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SUMIF(tblJaneiro12141618202269[Categoria],Tabela3131517192123824[[#This Row],[Categoria]],tblJaneiro12141618202269[Valor])</f>
        <v>0</v>
      </c>
    </row>
    <row r="12" spans="1:10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SUMIF(tblJaneiro12141618202269[Categoria],Tabela3131517192123824[[#This Row],[Categoria]],tblJaneiro12141618202269[Valor])</f>
        <v>0</v>
      </c>
    </row>
    <row r="13" spans="1:10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SUMIF(tblJaneiro12141618202269[Categoria],Tabela3131517192123824[[#This Row],[Categoria]],tblJaneiro12141618202269[Valor])</f>
        <v>0</v>
      </c>
    </row>
    <row r="14" spans="1:10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SUMIF(tblJaneiro12141618202269[Categoria],Tabela3131517192123824[[#This Row],[Categoria]],tblJaneiro12141618202269[Valor])</f>
        <v>0</v>
      </c>
    </row>
    <row r="15" spans="1:10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SUMIF(tblJaneiro12141618202269[Categoria],Tabela3131517192123824[[#This Row],[Categoria]],tblJaneiro12141618202269[Valor])</f>
        <v>0</v>
      </c>
    </row>
    <row r="16" spans="1:10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SUMIF(tblJaneiro12141618202269[Categoria],Tabela3131517192123824[[#This Row],[Categoria]],tblJaneiro12141618202269[Valor])</f>
        <v>0</v>
      </c>
    </row>
    <row r="17" spans="2:10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SUMIF(tblJaneiro12141618202269[Categoria],Tabela3131517192123824[[#This Row],[Categoria]],tblJaneiro12141618202269[Valor])</f>
        <v>0</v>
      </c>
    </row>
    <row r="18" spans="2:10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SUMIF(tblJaneiro12141618202269[Categoria],Tabela3131517192123824[[#This Row],[Categoria]],tblJaneiro12141618202269[Valor])</f>
        <v>0</v>
      </c>
    </row>
    <row r="19" spans="2:10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SUBTOTAL(109,Tabela3131517192123824[Total])</f>
        <v>0.9</v>
      </c>
    </row>
    <row r="20" spans="2:10" x14ac:dyDescent="0.25">
      <c r="B20" s="7"/>
      <c r="C20" s="9"/>
      <c r="D20" s="7"/>
      <c r="E20" s="7"/>
      <c r="F20" s="7"/>
      <c r="G20" s="7"/>
    </row>
    <row r="21" spans="2:10" x14ac:dyDescent="0.25">
      <c r="B21" s="7"/>
      <c r="C21" s="9"/>
      <c r="D21" s="7"/>
      <c r="E21" s="7"/>
      <c r="F21" s="7"/>
      <c r="G21" s="7"/>
    </row>
    <row r="22" spans="2:10" x14ac:dyDescent="0.25">
      <c r="B22" s="7"/>
      <c r="C22" s="9"/>
      <c r="D22" s="7"/>
      <c r="E22" s="7"/>
      <c r="F22" s="7"/>
      <c r="G22" s="7"/>
    </row>
    <row r="23" spans="2:10" x14ac:dyDescent="0.25">
      <c r="B23" s="7"/>
      <c r="C23" s="9"/>
      <c r="D23" s="7"/>
      <c r="E23" s="7"/>
      <c r="F23" s="7"/>
      <c r="G23" s="7"/>
    </row>
    <row r="24" spans="2:10" x14ac:dyDescent="0.25">
      <c r="B24" s="7"/>
      <c r="C24" s="9"/>
      <c r="D24" s="7"/>
      <c r="E24" s="7"/>
      <c r="F24" s="7"/>
      <c r="G24" s="7"/>
    </row>
    <row r="25" spans="2:10" x14ac:dyDescent="0.25">
      <c r="B25" s="7"/>
      <c r="C25" s="9"/>
      <c r="D25" s="7"/>
      <c r="E25" s="7"/>
      <c r="F25" s="7"/>
      <c r="G25" s="7"/>
    </row>
    <row r="26" spans="2:10" x14ac:dyDescent="0.25">
      <c r="B26" s="7"/>
      <c r="C26" s="9"/>
      <c r="D26" s="7"/>
      <c r="E26" s="7"/>
      <c r="F26" s="7"/>
      <c r="G26" s="7"/>
    </row>
    <row r="27" spans="2:10" x14ac:dyDescent="0.25">
      <c r="B27" s="7"/>
      <c r="C27" s="9"/>
      <c r="D27" s="7"/>
      <c r="E27" s="7"/>
      <c r="F27" s="7"/>
      <c r="G27" s="7"/>
    </row>
    <row r="28" spans="2:10" x14ac:dyDescent="0.25">
      <c r="B28" s="7"/>
      <c r="C28" s="9"/>
      <c r="D28" s="7"/>
      <c r="E28" s="7"/>
      <c r="F28" s="7"/>
      <c r="G28" s="7"/>
    </row>
    <row r="29" spans="2:10" x14ac:dyDescent="0.25">
      <c r="B29" s="7"/>
      <c r="C29" s="9"/>
      <c r="D29" s="7"/>
      <c r="E29" s="7"/>
      <c r="F29" s="7"/>
      <c r="G29" s="7"/>
    </row>
    <row r="30" spans="2:10" x14ac:dyDescent="0.25">
      <c r="B30" s="7"/>
      <c r="C30" s="9"/>
      <c r="D30" s="7"/>
      <c r="E30" s="7"/>
      <c r="F30" s="7"/>
      <c r="G30" s="7"/>
    </row>
    <row r="31" spans="2:10" x14ac:dyDescent="0.25">
      <c r="B31" s="7"/>
      <c r="C31" s="9"/>
      <c r="D31" s="7"/>
      <c r="E31" s="7"/>
      <c r="F31" s="7"/>
      <c r="G31" s="7"/>
    </row>
    <row r="32" spans="2:10" x14ac:dyDescent="0.25">
      <c r="B32" s="7"/>
      <c r="C32" s="9"/>
      <c r="D32" s="7"/>
      <c r="E32" s="7"/>
      <c r="F32" s="7"/>
      <c r="G32" s="7"/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13"/>
      <c r="C34" s="9"/>
      <c r="D34" s="9"/>
      <c r="E34" s="7"/>
      <c r="F34" s="7"/>
      <c r="G34" s="7"/>
    </row>
    <row r="35" spans="2:7" x14ac:dyDescent="0.25">
      <c r="B35" s="7"/>
      <c r="C35" s="9"/>
      <c r="D35" s="9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14"/>
      <c r="C37" s="9"/>
      <c r="D37" s="7"/>
      <c r="E37" s="7"/>
      <c r="F37" s="7"/>
      <c r="G37" s="7"/>
    </row>
    <row r="38" spans="2:7" x14ac:dyDescent="0.25">
      <c r="B38" s="14"/>
      <c r="C38" s="9"/>
      <c r="D38" s="7"/>
      <c r="E38" s="7"/>
      <c r="F38" s="7"/>
      <c r="G38" s="7"/>
    </row>
    <row r="39" spans="2:7" x14ac:dyDescent="0.25">
      <c r="B39" s="14"/>
      <c r="C39" s="9"/>
      <c r="D39" s="7"/>
      <c r="E39" s="7"/>
      <c r="F39" s="7"/>
      <c r="G39" s="7"/>
    </row>
    <row r="40" spans="2:7" x14ac:dyDescent="0.25">
      <c r="B40" s="14"/>
      <c r="C40" s="9"/>
      <c r="D40" s="7"/>
      <c r="E40" s="7"/>
      <c r="F40" s="7"/>
      <c r="G40" s="7"/>
    </row>
    <row r="41" spans="2:7" x14ac:dyDescent="0.25">
      <c r="B41" s="14"/>
      <c r="C41" s="9"/>
      <c r="D41" s="7"/>
      <c r="E41" s="7"/>
      <c r="F41" s="7"/>
      <c r="G41" s="7"/>
    </row>
    <row r="42" spans="2:7" x14ac:dyDescent="0.25">
      <c r="B42" s="14"/>
      <c r="C42" s="9"/>
      <c r="D42" s="7"/>
      <c r="E42" s="7"/>
      <c r="F42" s="7"/>
      <c r="G42" s="7"/>
    </row>
    <row r="43" spans="2:7" x14ac:dyDescent="0.25">
      <c r="B43" s="14"/>
      <c r="C43" s="9"/>
      <c r="D43" s="7"/>
      <c r="E43" s="7"/>
      <c r="F43" s="7"/>
      <c r="G43" s="7"/>
    </row>
    <row r="44" spans="2:7" x14ac:dyDescent="0.25">
      <c r="B44" s="14"/>
      <c r="C44" s="9"/>
      <c r="D44" s="7"/>
      <c r="E44" s="7"/>
      <c r="F44" s="7"/>
      <c r="G44" s="7"/>
    </row>
    <row r="45" spans="2:7" x14ac:dyDescent="0.25">
      <c r="B45" s="14"/>
      <c r="C45" s="9"/>
      <c r="D45" s="7"/>
      <c r="E45" s="7"/>
      <c r="F45" s="7"/>
      <c r="G45" s="7"/>
    </row>
    <row r="46" spans="2:7" x14ac:dyDescent="0.25">
      <c r="B46" s="14"/>
      <c r="C46" s="9"/>
      <c r="D46" s="7"/>
      <c r="E46" s="7"/>
      <c r="F46" s="7"/>
      <c r="G46" s="7"/>
    </row>
    <row r="47" spans="2:7" x14ac:dyDescent="0.25">
      <c r="B47" s="14"/>
      <c r="C47" s="9"/>
      <c r="D47" s="7"/>
      <c r="E47" s="7"/>
      <c r="F47" s="7"/>
      <c r="G47" s="7"/>
    </row>
    <row r="48" spans="2:7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D16" sqref="D1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3" x14ac:dyDescent="0.25">
      <c r="B2" s="7"/>
      <c r="C2" s="9"/>
      <c r="D2" s="7"/>
      <c r="E2" s="7"/>
      <c r="F2" s="7"/>
      <c r="G2" s="7"/>
      <c r="I2" t="s">
        <v>1</v>
      </c>
      <c r="J2" s="7">
        <f>SUMIF(tblJaneiro1214161820226925[Categoria],Tabela313151719212382426[[#This Row],[Categoria]],tblJaneiro1214161820226925[Valor])</f>
        <v>0</v>
      </c>
      <c r="L2" s="16">
        <v>43739</v>
      </c>
      <c r="M2">
        <v>4.5</v>
      </c>
    </row>
    <row r="3" spans="1:13" x14ac:dyDescent="0.25">
      <c r="B3" s="7"/>
      <c r="C3" s="9"/>
      <c r="D3" s="7"/>
      <c r="E3" s="7"/>
      <c r="F3" s="7"/>
      <c r="G3" s="7"/>
      <c r="I3" t="s">
        <v>2</v>
      </c>
      <c r="J3" s="7">
        <f>SUMIF(tblJaneiro1214161820226925[Categoria],Tabela313151719212382426[[#This Row],[Categoria]],tblJaneiro1214161820226925[Valor])</f>
        <v>0</v>
      </c>
      <c r="L3" s="16">
        <v>43740</v>
      </c>
      <c r="M3">
        <v>4.5</v>
      </c>
    </row>
    <row r="4" spans="1:13" x14ac:dyDescent="0.25">
      <c r="B4" s="7"/>
      <c r="C4" s="9"/>
      <c r="D4" s="7"/>
      <c r="E4" s="7"/>
      <c r="F4" s="7"/>
      <c r="G4" s="7"/>
      <c r="I4" t="s">
        <v>25</v>
      </c>
      <c r="J4" s="7">
        <f>SUMIF(tblJaneiro1214161820226925[Categoria],Tabela313151719212382426[[#This Row],[Categoria]],tblJaneiro1214161820226925[Valor])</f>
        <v>0</v>
      </c>
      <c r="L4" s="16">
        <v>43741</v>
      </c>
      <c r="M4">
        <v>4.5</v>
      </c>
    </row>
    <row r="5" spans="1:13" x14ac:dyDescent="0.25">
      <c r="B5" s="7"/>
      <c r="C5" s="9"/>
      <c r="D5" s="7"/>
      <c r="E5" s="7"/>
      <c r="F5" s="7"/>
      <c r="G5" s="7"/>
      <c r="I5" t="s">
        <v>26</v>
      </c>
      <c r="J5" s="7">
        <f>SUMIF(tblJaneiro1214161820226925[Categoria],Tabela313151719212382426[[#This Row],[Categoria]],tblJaneiro1214161820226925[Valor])</f>
        <v>0</v>
      </c>
      <c r="L5" s="16">
        <v>43742</v>
      </c>
      <c r="M5">
        <v>4.5</v>
      </c>
    </row>
    <row r="6" spans="1:13" x14ac:dyDescent="0.25">
      <c r="B6" s="7"/>
      <c r="C6" s="9"/>
      <c r="D6" s="7"/>
      <c r="E6" s="7"/>
      <c r="F6" s="7"/>
      <c r="G6" s="7"/>
      <c r="I6" t="s">
        <v>27</v>
      </c>
      <c r="J6" s="7">
        <f>SUMIF(tblJaneiro1214161820226925[Categoria],Tabela313151719212382426[[#This Row],[Categoria]],tblJaneiro1214161820226925[Valor])</f>
        <v>0</v>
      </c>
      <c r="L6" s="16">
        <v>43743</v>
      </c>
      <c r="M6">
        <v>4.5</v>
      </c>
    </row>
    <row r="7" spans="1:13" x14ac:dyDescent="0.25">
      <c r="B7" s="7"/>
      <c r="C7" s="9"/>
      <c r="D7" s="7"/>
      <c r="E7" s="7"/>
      <c r="F7" s="7"/>
      <c r="G7" s="7"/>
      <c r="I7" t="s">
        <v>28</v>
      </c>
      <c r="J7" s="7">
        <f>SUMIF(tblJaneiro1214161820226925[Categoria],Tabela313151719212382426[[#This Row],[Categoria]],tblJaneiro1214161820226925[Valor])</f>
        <v>0</v>
      </c>
      <c r="L7" s="16">
        <v>43744</v>
      </c>
      <c r="M7">
        <v>4.5</v>
      </c>
    </row>
    <row r="8" spans="1:13" x14ac:dyDescent="0.25">
      <c r="B8" s="7"/>
      <c r="C8" s="9"/>
      <c r="D8" s="7"/>
      <c r="E8" s="7"/>
      <c r="F8" s="7"/>
      <c r="G8" s="7"/>
      <c r="I8" t="s">
        <v>29</v>
      </c>
      <c r="J8" s="7">
        <f>SUMIF(tblJaneiro1214161820226925[Categoria],Tabela313151719212382426[[#This Row],[Categoria]],tblJaneiro1214161820226925[Valor])</f>
        <v>0</v>
      </c>
      <c r="L8" s="16">
        <v>43745</v>
      </c>
      <c r="M8">
        <v>4.5</v>
      </c>
    </row>
    <row r="9" spans="1:13" x14ac:dyDescent="0.25">
      <c r="B9" s="7"/>
      <c r="C9" s="9"/>
      <c r="D9" s="7"/>
      <c r="E9" s="7"/>
      <c r="F9" s="7"/>
      <c r="G9" s="7"/>
      <c r="I9" t="s">
        <v>30</v>
      </c>
      <c r="J9" s="7">
        <f>SUMIF(tblJaneiro1214161820226925[Categoria],Tabela313151719212382426[[#This Row],[Categoria]],tblJaneiro1214161820226925[Valor])</f>
        <v>0</v>
      </c>
      <c r="L9" s="16">
        <v>43746</v>
      </c>
      <c r="M9">
        <v>4.5</v>
      </c>
    </row>
    <row r="10" spans="1:13" x14ac:dyDescent="0.25">
      <c r="B10" s="7"/>
      <c r="C10" s="9"/>
      <c r="D10" s="7"/>
      <c r="E10" s="7"/>
      <c r="F10" s="7"/>
      <c r="G10" s="7"/>
      <c r="I10" t="s">
        <v>19</v>
      </c>
      <c r="J10" s="7">
        <f>SUMIF(tblJaneiro1214161820226925[Categoria],Tabela313151719212382426[[#This Row],[Categoria]],tblJaneiro1214161820226925[Valor])</f>
        <v>0</v>
      </c>
      <c r="L10" s="16">
        <v>43747</v>
      </c>
      <c r="M10">
        <v>4.5</v>
      </c>
    </row>
    <row r="11" spans="1:13" x14ac:dyDescent="0.25">
      <c r="B11" s="7"/>
      <c r="C11" s="9"/>
      <c r="D11" s="7"/>
      <c r="E11" s="7"/>
      <c r="F11" s="7"/>
      <c r="G11" s="7"/>
      <c r="I11" t="s">
        <v>32</v>
      </c>
      <c r="J11" s="7">
        <f>SUMIF(tblJaneiro1214161820226925[Categoria],Tabela313151719212382426[[#This Row],[Categoria]],tblJaneiro1214161820226925[Valor])</f>
        <v>0</v>
      </c>
      <c r="L11" s="16">
        <v>43748</v>
      </c>
      <c r="M11">
        <v>4.5</v>
      </c>
    </row>
    <row r="12" spans="1:13" x14ac:dyDescent="0.25">
      <c r="B12" s="7"/>
      <c r="C12" s="9"/>
      <c r="D12" s="7"/>
      <c r="E12" s="7"/>
      <c r="F12" s="7"/>
      <c r="G12" s="7"/>
      <c r="I12" t="s">
        <v>31</v>
      </c>
      <c r="J12" s="7">
        <f>SUMIF(tblJaneiro1214161820226925[Categoria],Tabela313151719212382426[[#This Row],[Categoria]],tblJaneiro1214161820226925[Valor])</f>
        <v>0</v>
      </c>
      <c r="L12" s="16">
        <v>43749</v>
      </c>
      <c r="M12">
        <v>4.5</v>
      </c>
    </row>
    <row r="13" spans="1:13" x14ac:dyDescent="0.25">
      <c r="B13" s="7"/>
      <c r="C13" s="9"/>
      <c r="D13" s="7"/>
      <c r="E13" s="7"/>
      <c r="F13" s="7"/>
      <c r="G13" s="7"/>
      <c r="I13" t="s">
        <v>37</v>
      </c>
      <c r="J13" s="7">
        <f>SUMIF(tblJaneiro1214161820226925[Categoria],Tabela313151719212382426[[#This Row],[Categoria]],tblJaneiro1214161820226925[Valor])</f>
        <v>0</v>
      </c>
      <c r="L13" s="16">
        <v>43750</v>
      </c>
      <c r="M13">
        <v>4.5</v>
      </c>
    </row>
    <row r="14" spans="1:13" x14ac:dyDescent="0.25">
      <c r="B14" s="7"/>
      <c r="C14" s="9"/>
      <c r="D14" s="7"/>
      <c r="E14" s="7"/>
      <c r="F14" s="7"/>
      <c r="G14" s="7"/>
      <c r="I14" t="s">
        <v>38</v>
      </c>
      <c r="J14" s="7">
        <f>SUMIF(tblJaneiro1214161820226925[Categoria],Tabela313151719212382426[[#This Row],[Categoria]],tblJaneiro1214161820226925[Valor])</f>
        <v>0</v>
      </c>
      <c r="L14" s="16">
        <v>43751</v>
      </c>
      <c r="M14">
        <v>4.5</v>
      </c>
    </row>
    <row r="15" spans="1:13" x14ac:dyDescent="0.25">
      <c r="B15" s="7"/>
      <c r="C15" s="9"/>
      <c r="D15" s="7"/>
      <c r="E15" s="7"/>
      <c r="F15" s="7"/>
      <c r="G15" s="7"/>
      <c r="I15" t="s">
        <v>39</v>
      </c>
      <c r="J15" s="7">
        <f>SUMIF(tblJaneiro1214161820226925[Categoria],Tabela313151719212382426[[#This Row],[Categoria]],tblJaneiro1214161820226925[Valor])</f>
        <v>0</v>
      </c>
      <c r="L15" s="16">
        <v>43752</v>
      </c>
      <c r="M15">
        <v>4.5</v>
      </c>
    </row>
    <row r="16" spans="1:13" x14ac:dyDescent="0.25">
      <c r="B16" s="7"/>
      <c r="C16" s="9"/>
      <c r="D16" s="7"/>
      <c r="E16" s="7"/>
      <c r="F16" s="7"/>
      <c r="G16" s="7"/>
      <c r="I16" t="s">
        <v>40</v>
      </c>
      <c r="J16" s="7">
        <f>SUMIF(tblJaneiro1214161820226925[Categoria],Tabela313151719212382426[[#This Row],[Categoria]],tblJaneiro1214161820226925[Valor])</f>
        <v>0</v>
      </c>
      <c r="L16" s="16">
        <v>43753</v>
      </c>
      <c r="M16">
        <v>4.5</v>
      </c>
    </row>
    <row r="17" spans="2:13" x14ac:dyDescent="0.25">
      <c r="B17" s="7"/>
      <c r="C17" s="9"/>
      <c r="D17" s="7"/>
      <c r="E17" s="7"/>
      <c r="F17" s="7"/>
      <c r="G17" s="7"/>
      <c r="I17" t="s">
        <v>41</v>
      </c>
      <c r="J17" s="7">
        <f>SUMIF(tblJaneiro1214161820226925[Categoria],Tabela313151719212382426[[#This Row],[Categoria]],tblJaneiro1214161820226925[Valor])</f>
        <v>0</v>
      </c>
      <c r="L17" s="16">
        <v>43754</v>
      </c>
      <c r="M17">
        <v>4.5</v>
      </c>
    </row>
    <row r="18" spans="2:13" x14ac:dyDescent="0.25">
      <c r="B18" s="7"/>
      <c r="C18" s="9"/>
      <c r="D18" s="7"/>
      <c r="E18" s="7"/>
      <c r="F18" s="7"/>
      <c r="G18" s="7"/>
      <c r="I18" t="s">
        <v>42</v>
      </c>
      <c r="J18" s="7">
        <f>SUMIF(tblJaneiro1214161820226925[Categoria],Tabela313151719212382426[[#This Row],[Categoria]],tblJaneiro1214161820226925[Valor])</f>
        <v>0</v>
      </c>
      <c r="L18" s="16">
        <v>43755</v>
      </c>
      <c r="M18">
        <v>4.5</v>
      </c>
    </row>
    <row r="19" spans="2:13" x14ac:dyDescent="0.25">
      <c r="B19" s="7"/>
      <c r="C19" s="9"/>
      <c r="D19" s="7"/>
      <c r="E19" s="7"/>
      <c r="F19" s="7"/>
      <c r="G19" s="7"/>
      <c r="I19" t="s">
        <v>18</v>
      </c>
      <c r="J19" s="15">
        <f>SUBTOTAL(109,Tabela313151719212382426[Total])</f>
        <v>0</v>
      </c>
      <c r="L19" s="16">
        <v>43756</v>
      </c>
      <c r="M19">
        <v>4.5</v>
      </c>
    </row>
    <row r="20" spans="2:13" x14ac:dyDescent="0.25">
      <c r="B20" s="7"/>
      <c r="C20" s="9"/>
      <c r="D20" s="7"/>
      <c r="E20" s="7"/>
      <c r="F20" s="7"/>
      <c r="G20" s="7"/>
      <c r="L20" s="16">
        <v>43757</v>
      </c>
      <c r="M20">
        <v>4.5</v>
      </c>
    </row>
    <row r="21" spans="2:13" x14ac:dyDescent="0.25">
      <c r="B21" s="7"/>
      <c r="C21" s="9"/>
      <c r="D21" s="7"/>
      <c r="E21" s="7"/>
      <c r="F21" s="7"/>
      <c r="G21" s="7"/>
      <c r="L21" s="16">
        <v>43758</v>
      </c>
      <c r="M21">
        <v>4.5</v>
      </c>
    </row>
    <row r="22" spans="2:13" x14ac:dyDescent="0.25">
      <c r="B22" s="7"/>
      <c r="C22" s="9"/>
      <c r="D22" s="7"/>
      <c r="E22" s="7"/>
      <c r="F22" s="7"/>
      <c r="G22" s="7"/>
      <c r="L22" s="16">
        <v>43759</v>
      </c>
      <c r="M22">
        <v>4.5</v>
      </c>
    </row>
    <row r="23" spans="2:13" x14ac:dyDescent="0.25">
      <c r="B23" s="7"/>
      <c r="C23" s="9"/>
      <c r="D23" s="7"/>
      <c r="E23" s="7"/>
      <c r="F23" s="7"/>
      <c r="G23" s="7"/>
      <c r="L23" s="16">
        <v>43760</v>
      </c>
      <c r="M23">
        <v>4.5</v>
      </c>
    </row>
    <row r="24" spans="2:13" x14ac:dyDescent="0.25">
      <c r="B24" s="7"/>
      <c r="C24" s="9"/>
      <c r="D24" s="7"/>
      <c r="E24" s="7"/>
      <c r="F24" s="7"/>
      <c r="G24" s="7"/>
      <c r="L24" s="16">
        <v>43761</v>
      </c>
      <c r="M24">
        <v>4.5</v>
      </c>
    </row>
    <row r="25" spans="2:13" x14ac:dyDescent="0.25">
      <c r="B25" s="7"/>
      <c r="C25" s="9"/>
      <c r="D25" s="7"/>
      <c r="E25" s="7"/>
      <c r="F25" s="7"/>
      <c r="G25" s="7"/>
      <c r="L25" s="16">
        <v>43762</v>
      </c>
      <c r="M25">
        <v>4.5</v>
      </c>
    </row>
    <row r="26" spans="2:13" x14ac:dyDescent="0.25">
      <c r="B26" s="7"/>
      <c r="C26" s="9"/>
      <c r="D26" s="7"/>
      <c r="E26" s="7"/>
      <c r="F26" s="7"/>
      <c r="G26" s="7"/>
      <c r="L26" s="16">
        <v>43763</v>
      </c>
      <c r="M26">
        <v>4.5</v>
      </c>
    </row>
    <row r="27" spans="2:13" x14ac:dyDescent="0.25">
      <c r="B27" s="7"/>
      <c r="C27" s="9"/>
      <c r="D27" s="7"/>
      <c r="E27" s="7"/>
      <c r="F27" s="7"/>
      <c r="G27" s="7"/>
      <c r="L27" s="16">
        <v>43764</v>
      </c>
      <c r="M27">
        <v>4.5</v>
      </c>
    </row>
    <row r="28" spans="2:13" x14ac:dyDescent="0.25">
      <c r="B28" s="7"/>
      <c r="C28" s="9"/>
      <c r="D28" s="7"/>
      <c r="E28" s="7"/>
      <c r="F28" s="7"/>
      <c r="G28" s="7"/>
      <c r="L28" s="16">
        <v>43765</v>
      </c>
      <c r="M28">
        <v>4.5</v>
      </c>
    </row>
    <row r="29" spans="2:13" x14ac:dyDescent="0.25">
      <c r="B29" s="7"/>
      <c r="C29" s="9"/>
      <c r="D29" s="7"/>
      <c r="E29" s="7"/>
      <c r="F29" s="7"/>
      <c r="G29" s="7"/>
      <c r="L29" s="16">
        <v>43766</v>
      </c>
      <c r="M29">
        <v>4.5</v>
      </c>
    </row>
    <row r="30" spans="2:13" x14ac:dyDescent="0.25">
      <c r="B30" s="7"/>
      <c r="C30" s="9"/>
      <c r="D30" s="7"/>
      <c r="E30" s="7"/>
      <c r="F30" s="7"/>
      <c r="G30" s="7"/>
      <c r="L30" s="16">
        <v>43767</v>
      </c>
      <c r="M30">
        <v>4.5</v>
      </c>
    </row>
    <row r="31" spans="2:13" x14ac:dyDescent="0.25">
      <c r="B31" s="7"/>
      <c r="C31" s="9"/>
      <c r="D31" s="7"/>
      <c r="E31" s="7"/>
      <c r="F31" s="7"/>
      <c r="G31" s="7"/>
      <c r="L31" s="16">
        <v>43768</v>
      </c>
      <c r="M31">
        <v>4.5</v>
      </c>
    </row>
    <row r="32" spans="2:13" x14ac:dyDescent="0.25">
      <c r="B32" s="7"/>
      <c r="C32" s="9"/>
      <c r="D32" s="7"/>
      <c r="E32" s="7"/>
      <c r="F32" s="7"/>
      <c r="G32" s="7"/>
      <c r="L32" s="16">
        <v>43769</v>
      </c>
      <c r="M32">
        <v>4.5</v>
      </c>
    </row>
    <row r="33" spans="2:13" x14ac:dyDescent="0.25">
      <c r="B33" s="7"/>
      <c r="C33" s="9"/>
      <c r="D33" s="7"/>
      <c r="E33" s="7"/>
      <c r="F33" s="7"/>
      <c r="G33" s="7"/>
      <c r="M33">
        <f>SUM(M2:M32)</f>
        <v>139.5</v>
      </c>
    </row>
    <row r="34" spans="2:13" x14ac:dyDescent="0.25">
      <c r="B34" s="13"/>
      <c r="C34" s="9"/>
      <c r="D34" s="9"/>
      <c r="E34" s="7"/>
      <c r="F34" s="7"/>
      <c r="G34" s="7"/>
    </row>
    <row r="35" spans="2:13" x14ac:dyDescent="0.25">
      <c r="B35" s="7"/>
      <c r="C35" s="9"/>
      <c r="D35" s="9"/>
      <c r="E35" s="7"/>
      <c r="F35" s="7"/>
      <c r="G35" s="7"/>
    </row>
    <row r="36" spans="2:13" x14ac:dyDescent="0.25">
      <c r="B36" s="7"/>
      <c r="C36" s="9"/>
      <c r="D36" s="7"/>
      <c r="E36" s="7"/>
      <c r="F36" s="7"/>
      <c r="G36" s="7"/>
    </row>
    <row r="37" spans="2:13" x14ac:dyDescent="0.25">
      <c r="B37" s="14"/>
      <c r="C37" s="9"/>
      <c r="D37" s="7"/>
      <c r="E37" s="7"/>
      <c r="F37" s="7"/>
      <c r="G37" s="7"/>
    </row>
    <row r="38" spans="2:13" x14ac:dyDescent="0.25">
      <c r="B38" s="14"/>
      <c r="C38" s="9"/>
      <c r="D38" s="7"/>
      <c r="E38" s="7"/>
      <c r="F38" s="7"/>
      <c r="G38" s="7"/>
    </row>
    <row r="39" spans="2:13" x14ac:dyDescent="0.25">
      <c r="B39" s="14"/>
      <c r="C39" s="9"/>
      <c r="D39" s="7"/>
      <c r="E39" s="7"/>
      <c r="F39" s="7"/>
      <c r="G39" s="7"/>
    </row>
    <row r="40" spans="2:13" x14ac:dyDescent="0.25">
      <c r="B40" s="14"/>
      <c r="C40" s="9"/>
      <c r="D40" s="7"/>
      <c r="E40" s="7"/>
      <c r="F40" s="7"/>
      <c r="G40" s="7"/>
    </row>
    <row r="41" spans="2:13" x14ac:dyDescent="0.25">
      <c r="B41" s="14"/>
      <c r="C41" s="9"/>
      <c r="D41" s="7"/>
      <c r="E41" s="7"/>
      <c r="F41" s="7"/>
      <c r="G41" s="7"/>
    </row>
    <row r="42" spans="2:13" x14ac:dyDescent="0.25">
      <c r="B42" s="14"/>
      <c r="C42" s="9"/>
      <c r="D42" s="7"/>
      <c r="E42" s="7"/>
      <c r="F42" s="7"/>
      <c r="G42" s="7"/>
    </row>
    <row r="43" spans="2:13" x14ac:dyDescent="0.25">
      <c r="B43" s="14"/>
      <c r="C43" s="9"/>
      <c r="D43" s="7"/>
      <c r="E43" s="7"/>
      <c r="F43" s="7"/>
      <c r="G43" s="7"/>
    </row>
    <row r="44" spans="2:13" x14ac:dyDescent="0.25">
      <c r="B44" s="14"/>
      <c r="C44" s="9"/>
      <c r="D44" s="7"/>
      <c r="E44" s="7"/>
      <c r="F44" s="7"/>
      <c r="G44" s="7"/>
    </row>
    <row r="45" spans="2:13" x14ac:dyDescent="0.25">
      <c r="B45" s="14"/>
      <c r="C45" s="9"/>
      <c r="D45" s="7"/>
      <c r="E45" s="7"/>
      <c r="F45" s="7"/>
      <c r="G45" s="7"/>
    </row>
    <row r="46" spans="2:13" x14ac:dyDescent="0.25">
      <c r="B46" s="14"/>
      <c r="C46" s="9"/>
      <c r="D46" s="7"/>
      <c r="E46" s="7"/>
      <c r="F46" s="7"/>
      <c r="G46" s="7"/>
    </row>
    <row r="47" spans="2:13" x14ac:dyDescent="0.25">
      <c r="B47" s="14"/>
      <c r="C47" s="9"/>
      <c r="D47" s="7"/>
      <c r="E47" s="7"/>
      <c r="F47" s="7"/>
      <c r="G47" s="7"/>
    </row>
    <row r="48" spans="2:13" x14ac:dyDescent="0.25">
      <c r="B48" s="14"/>
      <c r="C48" s="9"/>
      <c r="D48" s="7"/>
      <c r="E48" s="7"/>
      <c r="F48" s="7"/>
      <c r="G48" s="7"/>
    </row>
    <row r="49" spans="2:7" x14ac:dyDescent="0.25">
      <c r="B49" s="14"/>
      <c r="C49" s="9"/>
      <c r="D49" s="7"/>
      <c r="E49" s="7"/>
      <c r="F49" s="7"/>
      <c r="G49" s="7"/>
    </row>
    <row r="50" spans="2:7" x14ac:dyDescent="0.25">
      <c r="B50" s="14"/>
      <c r="C50" s="9"/>
      <c r="D50" s="7"/>
      <c r="E50" s="7"/>
      <c r="F50" s="7"/>
      <c r="G50" s="7"/>
    </row>
    <row r="51" spans="2:7" x14ac:dyDescent="0.25">
      <c r="B51" s="14"/>
      <c r="C51" s="9"/>
      <c r="D51" s="7"/>
      <c r="E51" s="7"/>
      <c r="F51" s="7"/>
      <c r="G51" s="7"/>
    </row>
    <row r="52" spans="2:7" x14ac:dyDescent="0.25">
      <c r="B52" s="14"/>
      <c r="C52" s="9"/>
      <c r="D52" s="7"/>
      <c r="E52" s="7"/>
      <c r="F52" s="7"/>
      <c r="G52" s="7"/>
    </row>
    <row r="53" spans="2:7" x14ac:dyDescent="0.25">
      <c r="B53" s="14"/>
      <c r="C53" s="9"/>
      <c r="D53" s="7"/>
      <c r="E53" s="7"/>
      <c r="F53" s="7"/>
      <c r="G53" s="7"/>
    </row>
    <row r="54" spans="2:7" x14ac:dyDescent="0.25">
      <c r="B54" s="14"/>
      <c r="C54" s="9"/>
      <c r="D54" s="7"/>
      <c r="E54" s="7"/>
      <c r="F54" s="7"/>
      <c r="G54" s="7"/>
    </row>
    <row r="55" spans="2:7" x14ac:dyDescent="0.25">
      <c r="B55" s="14"/>
      <c r="C55" s="9"/>
      <c r="D55" s="7"/>
      <c r="E55" s="7"/>
      <c r="F55" s="7"/>
      <c r="G55" s="7"/>
    </row>
    <row r="56" spans="2:7" x14ac:dyDescent="0.25">
      <c r="B56" s="14"/>
      <c r="C56" s="9"/>
      <c r="D56" s="7"/>
      <c r="E56" s="7"/>
      <c r="F56" s="7"/>
      <c r="G56" s="7"/>
    </row>
    <row r="57" spans="2:7" x14ac:dyDescent="0.25">
      <c r="B57" s="14"/>
      <c r="C57" s="9"/>
      <c r="D57" s="7"/>
      <c r="E57" s="7"/>
      <c r="F57" s="7"/>
      <c r="G57" s="7"/>
    </row>
    <row r="58" spans="2:7" x14ac:dyDescent="0.25">
      <c r="B58" s="14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0" x14ac:dyDescent="0.25">
      <c r="B2" s="14"/>
      <c r="C2" s="9"/>
      <c r="D2" s="7"/>
      <c r="E2" s="7"/>
      <c r="F2" s="7"/>
      <c r="G2" s="7"/>
      <c r="I2" t="s">
        <v>1</v>
      </c>
      <c r="J2" s="7">
        <f>SUMIF(tblJaneiro121416182022692527[Categoria],Tabela31315171921238242628[[#This Row],[Categoria]],tblJaneiro121416182022692527[Valor])</f>
        <v>0</v>
      </c>
    </row>
    <row r="3" spans="1:10" x14ac:dyDescent="0.25">
      <c r="B3" s="14"/>
      <c r="C3" s="9"/>
      <c r="D3" s="7"/>
      <c r="E3" s="7"/>
      <c r="F3" s="7"/>
      <c r="G3" s="7"/>
      <c r="I3" t="s">
        <v>2</v>
      </c>
      <c r="J3" s="7">
        <f>SUMIF(tblJaneiro121416182022692527[Categoria],Tabela31315171921238242628[[#This Row],[Categoria]],tblJaneiro121416182022692527[Valor])</f>
        <v>0</v>
      </c>
    </row>
    <row r="4" spans="1:10" x14ac:dyDescent="0.25">
      <c r="B4" s="14"/>
      <c r="C4" s="9"/>
      <c r="D4" s="7"/>
      <c r="E4" s="7"/>
      <c r="F4" s="7"/>
      <c r="G4" s="7"/>
      <c r="I4" t="s">
        <v>25</v>
      </c>
      <c r="J4" s="7">
        <f>SUMIF(tblJaneiro121416182022692527[Categoria],Tabela31315171921238242628[[#This Row],[Categoria]],tblJaneiro121416182022692527[Valor])</f>
        <v>0</v>
      </c>
    </row>
    <row r="5" spans="1:10" x14ac:dyDescent="0.25">
      <c r="B5" s="14"/>
      <c r="C5" s="9"/>
      <c r="D5" s="7"/>
      <c r="E5" s="7"/>
      <c r="F5" s="7"/>
      <c r="G5" s="7"/>
      <c r="I5" t="s">
        <v>26</v>
      </c>
      <c r="J5" s="7">
        <f>SUMIF(tblJaneiro121416182022692527[Categoria],Tabela31315171921238242628[[#This Row],[Categoria]],tblJaneiro121416182022692527[Valor])</f>
        <v>0</v>
      </c>
    </row>
    <row r="6" spans="1:10" x14ac:dyDescent="0.25">
      <c r="B6" s="14"/>
      <c r="C6" s="9"/>
      <c r="D6" s="7"/>
      <c r="E6" s="7"/>
      <c r="F6" s="7"/>
      <c r="G6" s="7"/>
      <c r="I6" t="s">
        <v>27</v>
      </c>
      <c r="J6" s="7">
        <f>SUMIF(tblJaneiro121416182022692527[Categoria],Tabela31315171921238242628[[#This Row],[Categoria]],tblJaneiro121416182022692527[Valor])</f>
        <v>0</v>
      </c>
    </row>
    <row r="7" spans="1:10" x14ac:dyDescent="0.25">
      <c r="B7" s="14"/>
      <c r="C7" s="9"/>
      <c r="D7" s="7"/>
      <c r="E7" s="7"/>
      <c r="F7" s="7"/>
      <c r="G7" s="7"/>
      <c r="I7" t="s">
        <v>28</v>
      </c>
      <c r="J7" s="7">
        <f>SUMIF(tblJaneiro121416182022692527[Categoria],Tabela31315171921238242628[[#This Row],[Categoria]],tblJaneiro121416182022692527[Valor])</f>
        <v>0</v>
      </c>
    </row>
    <row r="8" spans="1:10" x14ac:dyDescent="0.25">
      <c r="B8" s="14"/>
      <c r="C8" s="9"/>
      <c r="D8" s="7"/>
      <c r="E8" s="7"/>
      <c r="F8" s="7"/>
      <c r="G8" s="7"/>
      <c r="I8" t="s">
        <v>29</v>
      </c>
      <c r="J8" s="7">
        <f>SUMIF(tblJaneiro121416182022692527[Categoria],Tabela31315171921238242628[[#This Row],[Categoria]],tblJaneiro121416182022692527[Valor])</f>
        <v>0</v>
      </c>
    </row>
    <row r="9" spans="1:10" x14ac:dyDescent="0.25">
      <c r="B9" s="14"/>
      <c r="C9" s="9"/>
      <c r="D9" s="7"/>
      <c r="E9" s="7"/>
      <c r="F9" s="7"/>
      <c r="G9" s="7"/>
      <c r="I9" t="s">
        <v>30</v>
      </c>
      <c r="J9" s="7">
        <f>SUMIF(tblJaneiro121416182022692527[Categoria],Tabela31315171921238242628[[#This Row],[Categoria]],tblJaneiro121416182022692527[Valor])</f>
        <v>0</v>
      </c>
    </row>
    <row r="10" spans="1:10" x14ac:dyDescent="0.25">
      <c r="B10" s="14"/>
      <c r="C10" s="9"/>
      <c r="D10" s="7"/>
      <c r="E10" s="7"/>
      <c r="F10" s="7"/>
      <c r="G10" s="7"/>
      <c r="I10" t="s">
        <v>19</v>
      </c>
      <c r="J10" s="7">
        <f>SUMIF(tblJaneiro121416182022692527[Categoria],Tabela31315171921238242628[[#This Row],[Categoria]],tblJaneiro121416182022692527[Valor])</f>
        <v>0</v>
      </c>
    </row>
    <row r="11" spans="1:10" x14ac:dyDescent="0.25">
      <c r="B11" s="14"/>
      <c r="C11" s="9"/>
      <c r="D11" s="7"/>
      <c r="E11" s="7"/>
      <c r="F11" s="7"/>
      <c r="G11" s="7"/>
      <c r="I11" t="s">
        <v>32</v>
      </c>
      <c r="J11" s="7">
        <f>SUMIF(tblJaneiro121416182022692527[Categoria],Tabela31315171921238242628[[#This Row],[Categoria]],tblJaneiro121416182022692527[Valor])</f>
        <v>0</v>
      </c>
    </row>
    <row r="12" spans="1:10" x14ac:dyDescent="0.25">
      <c r="B12" s="14"/>
      <c r="C12" s="9"/>
      <c r="D12" s="7"/>
      <c r="E12" s="7"/>
      <c r="F12" s="7"/>
      <c r="G12" s="7"/>
      <c r="I12" t="s">
        <v>31</v>
      </c>
      <c r="J12" s="7">
        <f>SUMIF(tblJaneiro121416182022692527[Categoria],Tabela31315171921238242628[[#This Row],[Categoria]],tblJaneiro121416182022692527[Valor])</f>
        <v>0</v>
      </c>
    </row>
    <row r="13" spans="1:10" x14ac:dyDescent="0.25">
      <c r="B13" s="14"/>
      <c r="C13" s="9"/>
      <c r="D13" s="7"/>
      <c r="E13" s="7"/>
      <c r="F13" s="7"/>
      <c r="G13" s="7"/>
      <c r="I13" t="s">
        <v>37</v>
      </c>
      <c r="J13" s="7">
        <f>SUMIF(tblJaneiro121416182022692527[Categoria],Tabela31315171921238242628[[#This Row],[Categoria]],tblJaneiro121416182022692527[Valor])</f>
        <v>0</v>
      </c>
    </row>
    <row r="14" spans="1:10" x14ac:dyDescent="0.25">
      <c r="B14" s="14"/>
      <c r="C14" s="9"/>
      <c r="D14" s="7"/>
      <c r="E14" s="7"/>
      <c r="F14" s="7"/>
      <c r="G14" s="7"/>
      <c r="I14" t="s">
        <v>38</v>
      </c>
      <c r="J14" s="7">
        <f>SUMIF(tblJaneiro121416182022692527[Categoria],Tabela31315171921238242628[[#This Row],[Categoria]],tblJaneiro121416182022692527[Valor])</f>
        <v>0</v>
      </c>
    </row>
    <row r="15" spans="1:10" x14ac:dyDescent="0.25">
      <c r="B15" s="14"/>
      <c r="C15" s="9"/>
      <c r="D15" s="7"/>
      <c r="E15" s="7"/>
      <c r="F15" s="7"/>
      <c r="G15" s="7"/>
      <c r="I15" t="s">
        <v>39</v>
      </c>
      <c r="J15" s="7">
        <f>SUMIF(tblJaneiro121416182022692527[Categoria],Tabela31315171921238242628[[#This Row],[Categoria]],tblJaneiro121416182022692527[Valor])</f>
        <v>0</v>
      </c>
    </row>
    <row r="16" spans="1:10" x14ac:dyDescent="0.25">
      <c r="B16" s="14"/>
      <c r="C16" s="9"/>
      <c r="D16" s="7"/>
      <c r="E16" s="7"/>
      <c r="F16" s="7"/>
      <c r="G16" s="7"/>
      <c r="I16" t="s">
        <v>40</v>
      </c>
      <c r="J16" s="7">
        <f>SUMIF(tblJaneiro121416182022692527[Categoria],Tabela31315171921238242628[[#This Row],[Categoria]],tblJaneiro121416182022692527[Valor])</f>
        <v>0</v>
      </c>
    </row>
    <row r="17" spans="2:10" x14ac:dyDescent="0.25">
      <c r="B17" s="14"/>
      <c r="C17" s="9"/>
      <c r="D17" s="7"/>
      <c r="E17" s="7"/>
      <c r="F17" s="7"/>
      <c r="G17" s="7"/>
      <c r="I17" t="s">
        <v>41</v>
      </c>
      <c r="J17" s="7">
        <f>SUMIF(tblJaneiro121416182022692527[Categoria],Tabela31315171921238242628[[#This Row],[Categoria]],tblJaneiro121416182022692527[Valor])</f>
        <v>0</v>
      </c>
    </row>
    <row r="18" spans="2:10" x14ac:dyDescent="0.25">
      <c r="B18" s="14"/>
      <c r="C18" s="9"/>
      <c r="D18" s="7"/>
      <c r="E18" s="7"/>
      <c r="F18" s="7"/>
      <c r="G18" s="7"/>
      <c r="I18" t="s">
        <v>42</v>
      </c>
      <c r="J18" s="7">
        <f>SUMIF(tblJaneiro121416182022692527[Categoria],Tabela31315171921238242628[[#This Row],[Categoria]],tblJaneiro121416182022692527[Valor])</f>
        <v>0</v>
      </c>
    </row>
    <row r="19" spans="2:10" x14ac:dyDescent="0.25">
      <c r="B19" s="14"/>
      <c r="C19" s="9"/>
      <c r="D19" s="7"/>
      <c r="E19" s="7"/>
      <c r="F19" s="7"/>
      <c r="G19" s="7"/>
      <c r="I19" t="s">
        <v>18</v>
      </c>
      <c r="J19" s="15">
        <f>SUBTOTAL(109,Tabela31315171921238242628[Total])</f>
        <v>0</v>
      </c>
    </row>
    <row r="20" spans="2:10" x14ac:dyDescent="0.25">
      <c r="B20" s="14"/>
      <c r="C20" s="9"/>
      <c r="D20" s="7"/>
      <c r="E20" s="7"/>
      <c r="F20" s="7"/>
      <c r="G20" s="7"/>
    </row>
    <row r="21" spans="2:10" x14ac:dyDescent="0.25">
      <c r="B21" s="14"/>
      <c r="C21" s="9"/>
      <c r="D21" s="7"/>
      <c r="E21" s="7"/>
      <c r="F21" s="7"/>
      <c r="G21" s="7"/>
    </row>
    <row r="22" spans="2:10" x14ac:dyDescent="0.25">
      <c r="B22" s="14"/>
      <c r="C22" s="9"/>
      <c r="D22" s="7"/>
      <c r="E22" s="7"/>
      <c r="F22" s="7"/>
      <c r="G22" s="7"/>
    </row>
    <row r="23" spans="2:10" x14ac:dyDescent="0.25">
      <c r="B23" s="14"/>
      <c r="C23" s="9"/>
      <c r="D23" s="7"/>
      <c r="E23" s="7"/>
      <c r="F23" s="7"/>
      <c r="G23" s="7"/>
    </row>
    <row r="24" spans="2:10" x14ac:dyDescent="0.25">
      <c r="B24" s="7"/>
      <c r="C24" s="9"/>
      <c r="D24" s="7"/>
      <c r="E24" s="7"/>
      <c r="F24" s="7"/>
      <c r="G24" s="7"/>
    </row>
    <row r="25" spans="2:10" x14ac:dyDescent="0.25">
      <c r="B25" s="7"/>
      <c r="C25" s="9"/>
      <c r="D25" s="9"/>
      <c r="E25" s="7"/>
      <c r="F25" s="7"/>
      <c r="G25" s="7"/>
    </row>
    <row r="26" spans="2:10" x14ac:dyDescent="0.25">
      <c r="B26" s="7"/>
      <c r="C26" s="9"/>
      <c r="D26" s="7"/>
      <c r="E26" s="7"/>
      <c r="F26" s="7"/>
      <c r="G26" s="7"/>
    </row>
    <row r="27" spans="2:10" x14ac:dyDescent="0.25">
      <c r="B27" s="7"/>
      <c r="C27" s="9"/>
      <c r="D27" s="7"/>
      <c r="E27" s="7"/>
      <c r="F27" s="7"/>
      <c r="G27" s="7"/>
    </row>
    <row r="28" spans="2:10" x14ac:dyDescent="0.25">
      <c r="B28" s="7"/>
      <c r="C28" s="9"/>
      <c r="D28" s="7"/>
      <c r="E28" s="7"/>
      <c r="F28" s="7"/>
      <c r="G28" s="7"/>
    </row>
    <row r="29" spans="2:10" x14ac:dyDescent="0.25">
      <c r="B29" s="13"/>
      <c r="C29" s="9"/>
      <c r="D29" s="9"/>
      <c r="E29" s="7"/>
      <c r="F29" s="7"/>
      <c r="G29" s="7"/>
    </row>
    <row r="30" spans="2:10" x14ac:dyDescent="0.25">
      <c r="B30" s="7"/>
      <c r="C30" s="9"/>
      <c r="D30" s="7"/>
      <c r="E30" s="7"/>
      <c r="F30" s="7"/>
      <c r="G30" s="7"/>
    </row>
    <row r="31" spans="2:10" x14ac:dyDescent="0.25">
      <c r="B31" s="7"/>
      <c r="C31" s="9"/>
      <c r="D31" s="7"/>
      <c r="E31" s="7"/>
      <c r="F31" s="7"/>
      <c r="G31" s="7"/>
    </row>
    <row r="32" spans="2:10" x14ac:dyDescent="0.25">
      <c r="B32" s="7"/>
      <c r="C32" s="9"/>
      <c r="D32" s="7"/>
      <c r="E32" s="7"/>
      <c r="F32" s="7"/>
      <c r="G32" s="7"/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7"/>
      <c r="C34" s="9"/>
      <c r="D34" s="7"/>
      <c r="E34" s="7"/>
      <c r="F34" s="7"/>
      <c r="G34" s="7"/>
    </row>
    <row r="35" spans="2:7" x14ac:dyDescent="0.25">
      <c r="B35" s="7"/>
      <c r="C35" s="9"/>
      <c r="D35" s="7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7"/>
      <c r="C37" s="9"/>
      <c r="D37" s="7"/>
      <c r="E37" s="7"/>
      <c r="F37" s="7"/>
      <c r="G37" s="7"/>
    </row>
    <row r="38" spans="2:7" x14ac:dyDescent="0.25">
      <c r="B38" s="7"/>
      <c r="C38" s="9"/>
      <c r="D38" s="7"/>
      <c r="E38" s="7"/>
      <c r="F38" s="7"/>
      <c r="G38" s="7"/>
    </row>
    <row r="39" spans="2:7" x14ac:dyDescent="0.25">
      <c r="B39" s="7"/>
      <c r="C39" s="9"/>
      <c r="D39" s="7"/>
      <c r="E39" s="7"/>
      <c r="F39" s="7"/>
      <c r="G39" s="7"/>
    </row>
    <row r="40" spans="2:7" x14ac:dyDescent="0.25">
      <c r="B40" s="7"/>
      <c r="C40" s="9"/>
      <c r="D40" s="7"/>
      <c r="E40" s="7"/>
      <c r="F40" s="7"/>
      <c r="G40" s="7"/>
    </row>
    <row r="41" spans="2:7" x14ac:dyDescent="0.25">
      <c r="B41" s="7"/>
      <c r="C41" s="9"/>
      <c r="D41" s="7"/>
      <c r="E41" s="7"/>
      <c r="F41" s="7"/>
      <c r="G41" s="7"/>
    </row>
    <row r="42" spans="2:7" x14ac:dyDescent="0.25">
      <c r="B42" s="7"/>
      <c r="C42" s="9"/>
      <c r="D42" s="7"/>
      <c r="E42" s="7"/>
      <c r="F42" s="7"/>
      <c r="G42" s="7"/>
    </row>
    <row r="43" spans="2:7" x14ac:dyDescent="0.25">
      <c r="B43" s="7"/>
      <c r="C43" s="9"/>
      <c r="D43" s="7"/>
      <c r="E43" s="7"/>
      <c r="F43" s="7"/>
      <c r="G43" s="7"/>
    </row>
    <row r="44" spans="2:7" x14ac:dyDescent="0.25">
      <c r="B44" s="7"/>
      <c r="C44" s="9"/>
      <c r="D44" s="7"/>
      <c r="E44" s="7"/>
      <c r="F44" s="7"/>
      <c r="G44" s="7"/>
    </row>
    <row r="45" spans="2:7" x14ac:dyDescent="0.25">
      <c r="B45" s="7"/>
      <c r="C45" s="9"/>
      <c r="D45" s="7"/>
      <c r="E45" s="7"/>
      <c r="F45" s="7"/>
      <c r="G45" s="7"/>
    </row>
    <row r="46" spans="2:7" x14ac:dyDescent="0.25">
      <c r="B46" s="7"/>
      <c r="C46" s="9"/>
      <c r="D46" s="7"/>
      <c r="E46" s="7"/>
      <c r="F46" s="7"/>
      <c r="G46" s="7"/>
    </row>
    <row r="47" spans="2:7" x14ac:dyDescent="0.25">
      <c r="B47" s="7"/>
      <c r="C47" s="9"/>
      <c r="D47" s="7"/>
      <c r="E47" s="7"/>
      <c r="F47" s="7"/>
      <c r="G47" s="7"/>
    </row>
    <row r="48" spans="2:7" x14ac:dyDescent="0.25">
      <c r="B48" s="7"/>
      <c r="C48" s="9"/>
      <c r="D48" s="7"/>
      <c r="E48" s="7"/>
      <c r="F48" s="7"/>
      <c r="G48" s="7"/>
    </row>
    <row r="49" spans="2:7" x14ac:dyDescent="0.25">
      <c r="B49" s="7"/>
      <c r="C49" s="9"/>
      <c r="D49" s="7"/>
      <c r="E49" s="7"/>
      <c r="F49" s="7"/>
      <c r="G49" s="7"/>
    </row>
    <row r="50" spans="2:7" x14ac:dyDescent="0.25">
      <c r="B50" s="7"/>
      <c r="C50" s="9"/>
      <c r="D50" s="7"/>
      <c r="E50" s="7"/>
      <c r="F50" s="7"/>
      <c r="G50" s="7"/>
    </row>
    <row r="51" spans="2:7" x14ac:dyDescent="0.25">
      <c r="B51" s="7"/>
      <c r="C51" s="9"/>
      <c r="D51" s="7"/>
      <c r="E51" s="7"/>
      <c r="F51" s="7"/>
      <c r="G51" s="7"/>
    </row>
    <row r="52" spans="2:7" x14ac:dyDescent="0.25">
      <c r="B52" s="7"/>
      <c r="C52" s="9"/>
      <c r="D52" s="7"/>
      <c r="E52" s="7"/>
      <c r="F52" s="7"/>
      <c r="G52" s="7"/>
    </row>
    <row r="53" spans="2:7" x14ac:dyDescent="0.25">
      <c r="B53" s="7"/>
      <c r="C53" s="9"/>
      <c r="D53" s="7"/>
      <c r="E53" s="7"/>
      <c r="F53" s="7"/>
      <c r="G53" s="7"/>
    </row>
    <row r="54" spans="2:7" x14ac:dyDescent="0.25">
      <c r="B54" s="7"/>
      <c r="C54" s="9"/>
      <c r="D54" s="7"/>
      <c r="E54" s="7"/>
      <c r="F54" s="7"/>
      <c r="G54" s="7"/>
    </row>
    <row r="55" spans="2:7" x14ac:dyDescent="0.25">
      <c r="B55" s="7"/>
      <c r="C55" s="9"/>
      <c r="D55" s="7"/>
      <c r="E55" s="7"/>
      <c r="F55" s="7"/>
      <c r="G55" s="7"/>
    </row>
    <row r="56" spans="2:7" x14ac:dyDescent="0.25">
      <c r="B56" s="7"/>
      <c r="C56" s="9"/>
      <c r="D56" s="7"/>
      <c r="E56" s="7"/>
      <c r="F56" s="7"/>
      <c r="G56" s="7"/>
    </row>
    <row r="57" spans="2:7" x14ac:dyDescent="0.25">
      <c r="B57" s="7"/>
      <c r="C57" s="9"/>
      <c r="D57" s="7"/>
      <c r="E57" s="7"/>
      <c r="F57" s="7"/>
      <c r="G57" s="7"/>
    </row>
    <row r="58" spans="2:7" x14ac:dyDescent="0.25">
      <c r="B58" s="7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11" customFormat="1" x14ac:dyDescent="0.25">
      <c r="A1" s="11" t="s">
        <v>0</v>
      </c>
      <c r="B1" s="11" t="s">
        <v>23</v>
      </c>
      <c r="C1" s="12" t="s">
        <v>24</v>
      </c>
      <c r="D1" s="11" t="s">
        <v>36</v>
      </c>
      <c r="E1" s="11" t="s">
        <v>35</v>
      </c>
      <c r="F1" s="11" t="s">
        <v>34</v>
      </c>
      <c r="G1" s="11" t="s">
        <v>33</v>
      </c>
      <c r="I1" s="11" t="s">
        <v>0</v>
      </c>
      <c r="J1" s="11" t="s">
        <v>18</v>
      </c>
    </row>
    <row r="2" spans="1:10" x14ac:dyDescent="0.25">
      <c r="B2" s="14"/>
      <c r="C2" s="9"/>
      <c r="D2" s="7"/>
      <c r="E2" s="7"/>
      <c r="F2" s="7"/>
      <c r="G2" s="7"/>
      <c r="I2" t="s">
        <v>1</v>
      </c>
      <c r="J2" s="7">
        <f>SUMIF(tblJaneiro12141618202269252729[Categoria],Tabela3131517192123824262830[[#This Row],[Categoria]],tblJaneiro12141618202269252729[Valor])</f>
        <v>0</v>
      </c>
    </row>
    <row r="3" spans="1:10" x14ac:dyDescent="0.25">
      <c r="B3" s="14"/>
      <c r="C3" s="9"/>
      <c r="D3" s="7"/>
      <c r="E3" s="7"/>
      <c r="F3" s="7"/>
      <c r="G3" s="7"/>
      <c r="I3" t="s">
        <v>2</v>
      </c>
      <c r="J3" s="7">
        <f>SUMIF(tblJaneiro12141618202269252729[Categoria],Tabela3131517192123824262830[[#This Row],[Categoria]],tblJaneiro12141618202269252729[Valor])</f>
        <v>0</v>
      </c>
    </row>
    <row r="4" spans="1:10" x14ac:dyDescent="0.25">
      <c r="B4" s="14"/>
      <c r="C4" s="9"/>
      <c r="D4" s="7"/>
      <c r="E4" s="7"/>
      <c r="F4" s="7"/>
      <c r="G4" s="7"/>
      <c r="I4" t="s">
        <v>25</v>
      </c>
      <c r="J4" s="7">
        <f>SUMIF(tblJaneiro12141618202269252729[Categoria],Tabela3131517192123824262830[[#This Row],[Categoria]],tblJaneiro12141618202269252729[Valor])</f>
        <v>0</v>
      </c>
    </row>
    <row r="5" spans="1:10" x14ac:dyDescent="0.25">
      <c r="B5" s="14"/>
      <c r="C5" s="9"/>
      <c r="D5" s="7"/>
      <c r="E5" s="7"/>
      <c r="F5" s="7"/>
      <c r="G5" s="7"/>
      <c r="I5" t="s">
        <v>26</v>
      </c>
      <c r="J5" s="7">
        <f>SUMIF(tblJaneiro12141618202269252729[Categoria],Tabela3131517192123824262830[[#This Row],[Categoria]],tblJaneiro12141618202269252729[Valor])</f>
        <v>0</v>
      </c>
    </row>
    <row r="6" spans="1:10" x14ac:dyDescent="0.25">
      <c r="B6" s="14"/>
      <c r="C6" s="9"/>
      <c r="D6" s="7"/>
      <c r="E6" s="7"/>
      <c r="F6" s="7"/>
      <c r="G6" s="7"/>
      <c r="I6" t="s">
        <v>27</v>
      </c>
      <c r="J6" s="7">
        <f>SUMIF(tblJaneiro12141618202269252729[Categoria],Tabela3131517192123824262830[[#This Row],[Categoria]],tblJaneiro12141618202269252729[Valor])</f>
        <v>0</v>
      </c>
    </row>
    <row r="7" spans="1:10" x14ac:dyDescent="0.25">
      <c r="B7" s="14"/>
      <c r="C7" s="9"/>
      <c r="D7" s="7"/>
      <c r="E7" s="7"/>
      <c r="F7" s="7"/>
      <c r="G7" s="7"/>
      <c r="I7" t="s">
        <v>28</v>
      </c>
      <c r="J7" s="7">
        <f>SUMIF(tblJaneiro12141618202269252729[Categoria],Tabela3131517192123824262830[[#This Row],[Categoria]],tblJaneiro12141618202269252729[Valor])</f>
        <v>0</v>
      </c>
    </row>
    <row r="8" spans="1:10" x14ac:dyDescent="0.25">
      <c r="B8" s="14"/>
      <c r="C8" s="9"/>
      <c r="D8" s="7"/>
      <c r="E8" s="7"/>
      <c r="F8" s="7"/>
      <c r="G8" s="7"/>
      <c r="I8" t="s">
        <v>29</v>
      </c>
      <c r="J8" s="7">
        <f>SUMIF(tblJaneiro12141618202269252729[Categoria],Tabela3131517192123824262830[[#This Row],[Categoria]],tblJaneiro12141618202269252729[Valor])</f>
        <v>0</v>
      </c>
    </row>
    <row r="9" spans="1:10" x14ac:dyDescent="0.25">
      <c r="B9" s="14"/>
      <c r="C9" s="9"/>
      <c r="D9" s="7"/>
      <c r="E9" s="7"/>
      <c r="F9" s="7"/>
      <c r="G9" s="7"/>
      <c r="I9" t="s">
        <v>30</v>
      </c>
      <c r="J9" s="7">
        <f>SUMIF(tblJaneiro12141618202269252729[Categoria],Tabela3131517192123824262830[[#This Row],[Categoria]],tblJaneiro12141618202269252729[Valor])</f>
        <v>0</v>
      </c>
    </row>
    <row r="10" spans="1:10" x14ac:dyDescent="0.25">
      <c r="B10" s="14"/>
      <c r="C10" s="9"/>
      <c r="D10" s="7"/>
      <c r="E10" s="7"/>
      <c r="F10" s="7"/>
      <c r="G10" s="7"/>
      <c r="I10" t="s">
        <v>19</v>
      </c>
      <c r="J10" s="7">
        <f>SUMIF(tblJaneiro12141618202269252729[Categoria],Tabela3131517192123824262830[[#This Row],[Categoria]],tblJaneiro12141618202269252729[Valor])</f>
        <v>0</v>
      </c>
    </row>
    <row r="11" spans="1:10" x14ac:dyDescent="0.25">
      <c r="B11" s="14"/>
      <c r="C11" s="9"/>
      <c r="D11" s="7"/>
      <c r="E11" s="7"/>
      <c r="F11" s="7"/>
      <c r="G11" s="7"/>
      <c r="I11" t="s">
        <v>32</v>
      </c>
      <c r="J11" s="7">
        <f>SUMIF(tblJaneiro12141618202269252729[Categoria],Tabela3131517192123824262830[[#This Row],[Categoria]],tblJaneiro12141618202269252729[Valor])</f>
        <v>0</v>
      </c>
    </row>
    <row r="12" spans="1:10" x14ac:dyDescent="0.25">
      <c r="B12" s="14"/>
      <c r="C12" s="9"/>
      <c r="D12" s="7"/>
      <c r="E12" s="7"/>
      <c r="F12" s="7"/>
      <c r="G12" s="7"/>
      <c r="I12" t="s">
        <v>31</v>
      </c>
      <c r="J12" s="7">
        <f>SUMIF(tblJaneiro12141618202269252729[Categoria],Tabela3131517192123824262830[[#This Row],[Categoria]],tblJaneiro12141618202269252729[Valor])</f>
        <v>0</v>
      </c>
    </row>
    <row r="13" spans="1:10" x14ac:dyDescent="0.25">
      <c r="B13" s="14"/>
      <c r="C13" s="9"/>
      <c r="D13" s="7"/>
      <c r="E13" s="7"/>
      <c r="F13" s="7"/>
      <c r="G13" s="7"/>
      <c r="I13" t="s">
        <v>37</v>
      </c>
      <c r="J13" s="7">
        <f>SUMIF(tblJaneiro12141618202269252729[Categoria],Tabela3131517192123824262830[[#This Row],[Categoria]],tblJaneiro12141618202269252729[Valor])</f>
        <v>0</v>
      </c>
    </row>
    <row r="14" spans="1:10" x14ac:dyDescent="0.25">
      <c r="B14" s="14"/>
      <c r="C14" s="9"/>
      <c r="D14" s="7"/>
      <c r="E14" s="7"/>
      <c r="F14" s="7"/>
      <c r="G14" s="7"/>
      <c r="I14" t="s">
        <v>38</v>
      </c>
      <c r="J14" s="7">
        <f>SUMIF(tblJaneiro12141618202269252729[Categoria],Tabela3131517192123824262830[[#This Row],[Categoria]],tblJaneiro12141618202269252729[Valor])</f>
        <v>0</v>
      </c>
    </row>
    <row r="15" spans="1:10" x14ac:dyDescent="0.25">
      <c r="B15" s="14"/>
      <c r="C15" s="9"/>
      <c r="D15" s="7"/>
      <c r="E15" s="7"/>
      <c r="F15" s="7"/>
      <c r="G15" s="7"/>
      <c r="I15" t="s">
        <v>39</v>
      </c>
      <c r="J15" s="7">
        <f>SUMIF(tblJaneiro12141618202269252729[Categoria],Tabela3131517192123824262830[[#This Row],[Categoria]],tblJaneiro12141618202269252729[Valor])</f>
        <v>0</v>
      </c>
    </row>
    <row r="16" spans="1:10" x14ac:dyDescent="0.25">
      <c r="B16" s="14"/>
      <c r="C16" s="9"/>
      <c r="D16" s="7"/>
      <c r="E16" s="7"/>
      <c r="F16" s="7"/>
      <c r="G16" s="7"/>
      <c r="I16" t="s">
        <v>40</v>
      </c>
      <c r="J16" s="7">
        <f>SUMIF(tblJaneiro12141618202269252729[Categoria],Tabela3131517192123824262830[[#This Row],[Categoria]],tblJaneiro12141618202269252729[Valor])</f>
        <v>0</v>
      </c>
    </row>
    <row r="17" spans="2:10" x14ac:dyDescent="0.25">
      <c r="B17" s="14"/>
      <c r="C17" s="9"/>
      <c r="D17" s="7"/>
      <c r="E17" s="7"/>
      <c r="F17" s="7"/>
      <c r="G17" s="7"/>
      <c r="I17" t="s">
        <v>41</v>
      </c>
      <c r="J17" s="7">
        <f>SUMIF(tblJaneiro12141618202269252729[Categoria],Tabela3131517192123824262830[[#This Row],[Categoria]],tblJaneiro12141618202269252729[Valor])</f>
        <v>0</v>
      </c>
    </row>
    <row r="18" spans="2:10" x14ac:dyDescent="0.25">
      <c r="B18" s="14"/>
      <c r="C18" s="9"/>
      <c r="D18" s="7"/>
      <c r="E18" s="7"/>
      <c r="F18" s="7"/>
      <c r="G18" s="7"/>
      <c r="I18" t="s">
        <v>42</v>
      </c>
      <c r="J18" s="7">
        <f>SUMIF(tblJaneiro12141618202269252729[Categoria],Tabela3131517192123824262830[[#This Row],[Categoria]],tblJaneiro12141618202269252729[Valor])</f>
        <v>0</v>
      </c>
    </row>
    <row r="19" spans="2:10" x14ac:dyDescent="0.25">
      <c r="B19" s="14"/>
      <c r="C19" s="9"/>
      <c r="D19" s="7"/>
      <c r="E19" s="7"/>
      <c r="F19" s="7"/>
      <c r="G19" s="7"/>
      <c r="I19" t="s">
        <v>18</v>
      </c>
      <c r="J19" s="15">
        <f>SUBTOTAL(109,Tabela3131517192123824262830[Total])</f>
        <v>0</v>
      </c>
    </row>
    <row r="20" spans="2:10" x14ac:dyDescent="0.25">
      <c r="B20" s="14"/>
      <c r="C20" s="9"/>
      <c r="D20" s="7"/>
      <c r="E20" s="7"/>
      <c r="F20" s="7"/>
      <c r="G20" s="7"/>
    </row>
    <row r="21" spans="2:10" x14ac:dyDescent="0.25">
      <c r="B21" s="14"/>
      <c r="C21" s="9"/>
      <c r="D21" s="7"/>
      <c r="E21" s="7"/>
      <c r="F21" s="7"/>
      <c r="G21" s="7"/>
    </row>
    <row r="22" spans="2:10" x14ac:dyDescent="0.25">
      <c r="B22" s="14"/>
      <c r="C22" s="9"/>
      <c r="D22" s="7"/>
      <c r="E22" s="7"/>
      <c r="F22" s="7"/>
      <c r="G22" s="7"/>
    </row>
    <row r="23" spans="2:10" x14ac:dyDescent="0.25">
      <c r="B23" s="14"/>
      <c r="C23" s="9"/>
      <c r="D23" s="7"/>
      <c r="E23" s="7"/>
      <c r="F23" s="7"/>
      <c r="G23" s="7"/>
    </row>
    <row r="24" spans="2:10" x14ac:dyDescent="0.25">
      <c r="B24" s="7"/>
      <c r="C24" s="9"/>
      <c r="D24" s="7"/>
      <c r="E24" s="7"/>
      <c r="F24" s="7"/>
      <c r="G24" s="7"/>
    </row>
    <row r="25" spans="2:10" x14ac:dyDescent="0.25">
      <c r="B25" s="7"/>
      <c r="C25" s="9"/>
      <c r="D25" s="9"/>
      <c r="E25" s="7"/>
      <c r="F25" s="7"/>
      <c r="G25" s="7"/>
    </row>
    <row r="26" spans="2:10" x14ac:dyDescent="0.25">
      <c r="B26" s="7"/>
      <c r="C26" s="9"/>
      <c r="D26" s="7"/>
      <c r="E26" s="7"/>
      <c r="F26" s="7"/>
      <c r="G26" s="7"/>
    </row>
    <row r="27" spans="2:10" x14ac:dyDescent="0.25">
      <c r="B27" s="7"/>
      <c r="C27" s="9"/>
      <c r="D27" s="7"/>
      <c r="E27" s="7"/>
      <c r="F27" s="7"/>
      <c r="G27" s="7"/>
    </row>
    <row r="28" spans="2:10" x14ac:dyDescent="0.25">
      <c r="B28" s="7"/>
      <c r="C28" s="9"/>
      <c r="D28" s="7"/>
      <c r="E28" s="7"/>
      <c r="F28" s="7"/>
      <c r="G28" s="7"/>
    </row>
    <row r="29" spans="2:10" x14ac:dyDescent="0.25">
      <c r="B29" s="13"/>
      <c r="C29" s="9"/>
      <c r="D29" s="9"/>
      <c r="E29" s="7"/>
      <c r="F29" s="7"/>
      <c r="G29" s="7"/>
    </row>
    <row r="30" spans="2:10" x14ac:dyDescent="0.25">
      <c r="B30" s="7"/>
      <c r="C30" s="9"/>
      <c r="D30" s="7"/>
      <c r="E30" s="7"/>
      <c r="F30" s="7"/>
      <c r="G30" s="7"/>
    </row>
    <row r="31" spans="2:10" x14ac:dyDescent="0.25">
      <c r="B31" s="7"/>
      <c r="C31" s="9"/>
      <c r="D31" s="7"/>
      <c r="E31" s="7"/>
      <c r="F31" s="7"/>
      <c r="G31" s="7"/>
    </row>
    <row r="32" spans="2:10" x14ac:dyDescent="0.25">
      <c r="B32" s="7"/>
      <c r="C32" s="9"/>
      <c r="D32" s="7"/>
      <c r="E32" s="7"/>
      <c r="F32" s="7"/>
      <c r="G32" s="7"/>
    </row>
    <row r="33" spans="2:7" x14ac:dyDescent="0.25">
      <c r="B33" s="7"/>
      <c r="C33" s="9"/>
      <c r="D33" s="7"/>
      <c r="E33" s="7"/>
      <c r="F33" s="7"/>
      <c r="G33" s="7"/>
    </row>
    <row r="34" spans="2:7" x14ac:dyDescent="0.25">
      <c r="B34" s="7"/>
      <c r="C34" s="9"/>
      <c r="D34" s="7"/>
      <c r="E34" s="7"/>
      <c r="F34" s="7"/>
      <c r="G34" s="7"/>
    </row>
    <row r="35" spans="2:7" x14ac:dyDescent="0.25">
      <c r="B35" s="7"/>
      <c r="C35" s="9"/>
      <c r="D35" s="7"/>
      <c r="E35" s="7"/>
      <c r="F35" s="7"/>
      <c r="G35" s="7"/>
    </row>
    <row r="36" spans="2:7" x14ac:dyDescent="0.25">
      <c r="B36" s="7"/>
      <c r="C36" s="9"/>
      <c r="D36" s="7"/>
      <c r="E36" s="7"/>
      <c r="F36" s="7"/>
      <c r="G36" s="7"/>
    </row>
    <row r="37" spans="2:7" x14ac:dyDescent="0.25">
      <c r="B37" s="7"/>
      <c r="C37" s="9"/>
      <c r="D37" s="7"/>
      <c r="E37" s="7"/>
      <c r="F37" s="7"/>
      <c r="G37" s="7"/>
    </row>
    <row r="38" spans="2:7" x14ac:dyDescent="0.25">
      <c r="B38" s="7"/>
      <c r="C38" s="9"/>
      <c r="D38" s="7"/>
      <c r="E38" s="7"/>
      <c r="F38" s="7"/>
      <c r="G38" s="7"/>
    </row>
    <row r="39" spans="2:7" x14ac:dyDescent="0.25">
      <c r="B39" s="7"/>
      <c r="C39" s="9"/>
      <c r="D39" s="7"/>
      <c r="E39" s="7"/>
      <c r="F39" s="7"/>
      <c r="G39" s="7"/>
    </row>
    <row r="40" spans="2:7" x14ac:dyDescent="0.25">
      <c r="B40" s="7"/>
      <c r="C40" s="9"/>
      <c r="D40" s="7"/>
      <c r="E40" s="7"/>
      <c r="F40" s="7"/>
      <c r="G40" s="7"/>
    </row>
    <row r="41" spans="2:7" x14ac:dyDescent="0.25">
      <c r="B41" s="7"/>
      <c r="C41" s="9"/>
      <c r="D41" s="7"/>
      <c r="E41" s="7"/>
      <c r="F41" s="7"/>
      <c r="G41" s="7"/>
    </row>
    <row r="42" spans="2:7" x14ac:dyDescent="0.25">
      <c r="B42" s="7"/>
      <c r="C42" s="9"/>
      <c r="D42" s="7"/>
      <c r="E42" s="7"/>
      <c r="F42" s="7"/>
      <c r="G42" s="7"/>
    </row>
    <row r="43" spans="2:7" x14ac:dyDescent="0.25">
      <c r="B43" s="7"/>
      <c r="C43" s="9"/>
      <c r="D43" s="7"/>
      <c r="E43" s="7"/>
      <c r="F43" s="7"/>
      <c r="G43" s="7"/>
    </row>
    <row r="44" spans="2:7" x14ac:dyDescent="0.25">
      <c r="B44" s="7"/>
      <c r="C44" s="9"/>
      <c r="D44" s="7"/>
      <c r="E44" s="7"/>
      <c r="F44" s="7"/>
      <c r="G44" s="7"/>
    </row>
    <row r="45" spans="2:7" x14ac:dyDescent="0.25">
      <c r="B45" s="7"/>
      <c r="C45" s="9"/>
      <c r="D45" s="7"/>
      <c r="E45" s="7"/>
      <c r="F45" s="7"/>
      <c r="G45" s="7"/>
    </row>
    <row r="46" spans="2:7" x14ac:dyDescent="0.25">
      <c r="B46" s="7"/>
      <c r="C46" s="9"/>
      <c r="D46" s="7"/>
      <c r="E46" s="7"/>
      <c r="F46" s="7"/>
      <c r="G46" s="7"/>
    </row>
    <row r="47" spans="2:7" x14ac:dyDescent="0.25">
      <c r="B47" s="7"/>
      <c r="C47" s="9"/>
      <c r="D47" s="7"/>
      <c r="E47" s="7"/>
      <c r="F47" s="7"/>
      <c r="G47" s="7"/>
    </row>
    <row r="48" spans="2:7" x14ac:dyDescent="0.25">
      <c r="B48" s="7"/>
      <c r="C48" s="9"/>
      <c r="D48" s="7"/>
      <c r="E48" s="7"/>
      <c r="F48" s="7"/>
      <c r="G48" s="7"/>
    </row>
    <row r="49" spans="2:7" x14ac:dyDescent="0.25">
      <c r="B49" s="7"/>
      <c r="C49" s="9"/>
      <c r="D49" s="7"/>
      <c r="E49" s="7"/>
      <c r="F49" s="7"/>
      <c r="G49" s="7"/>
    </row>
    <row r="50" spans="2:7" x14ac:dyDescent="0.25">
      <c r="B50" s="7"/>
      <c r="C50" s="9"/>
      <c r="D50" s="7"/>
      <c r="E50" s="7"/>
      <c r="F50" s="7"/>
      <c r="G50" s="7"/>
    </row>
    <row r="51" spans="2:7" x14ac:dyDescent="0.25">
      <c r="B51" s="7"/>
      <c r="C51" s="9"/>
      <c r="D51" s="7"/>
      <c r="E51" s="7"/>
      <c r="F51" s="7"/>
      <c r="G51" s="7"/>
    </row>
    <row r="52" spans="2:7" x14ac:dyDescent="0.25">
      <c r="B52" s="7"/>
      <c r="C52" s="9"/>
      <c r="D52" s="7"/>
      <c r="E52" s="7"/>
      <c r="F52" s="7"/>
      <c r="G52" s="7"/>
    </row>
    <row r="53" spans="2:7" x14ac:dyDescent="0.25">
      <c r="B53" s="7"/>
      <c r="C53" s="9"/>
      <c r="D53" s="7"/>
      <c r="E53" s="7"/>
      <c r="F53" s="7"/>
      <c r="G53" s="7"/>
    </row>
    <row r="54" spans="2:7" x14ac:dyDescent="0.25">
      <c r="B54" s="7"/>
      <c r="C54" s="9"/>
      <c r="D54" s="7"/>
      <c r="E54" s="7"/>
      <c r="F54" s="7"/>
      <c r="G54" s="7"/>
    </row>
    <row r="55" spans="2:7" x14ac:dyDescent="0.25">
      <c r="B55" s="7"/>
      <c r="C55" s="9"/>
      <c r="D55" s="7"/>
      <c r="E55" s="7"/>
      <c r="F55" s="7"/>
      <c r="G55" s="7"/>
    </row>
    <row r="56" spans="2:7" x14ac:dyDescent="0.25">
      <c r="B56" s="7"/>
      <c r="C56" s="9"/>
      <c r="D56" s="7"/>
      <c r="E56" s="7"/>
      <c r="F56" s="7"/>
      <c r="G56" s="7"/>
    </row>
    <row r="57" spans="2:7" x14ac:dyDescent="0.25">
      <c r="B57" s="7"/>
      <c r="C57" s="9"/>
      <c r="D57" s="7"/>
      <c r="E57" s="7"/>
      <c r="F57" s="7"/>
      <c r="G57" s="7"/>
    </row>
    <row r="58" spans="2:7" x14ac:dyDescent="0.25">
      <c r="B58" s="7"/>
      <c r="C58" s="9"/>
      <c r="D58" s="7"/>
      <c r="E58" s="7"/>
      <c r="F58" s="7"/>
      <c r="G58" s="7"/>
    </row>
    <row r="59" spans="2:7" x14ac:dyDescent="0.25">
      <c r="B59" s="14"/>
      <c r="C59" s="9"/>
      <c r="D59" s="7"/>
      <c r="E59" s="7"/>
      <c r="F59" s="7"/>
      <c r="G59" s="7"/>
    </row>
    <row r="60" spans="2:7" x14ac:dyDescent="0.25">
      <c r="B60" s="14"/>
      <c r="C60" s="9"/>
      <c r="D60" s="7"/>
      <c r="E60" s="7"/>
      <c r="F60" s="7"/>
      <c r="G60" s="7"/>
    </row>
    <row r="61" spans="2:7" x14ac:dyDescent="0.25">
      <c r="B61" s="14"/>
      <c r="C61" s="9"/>
      <c r="D61" s="7"/>
      <c r="E61" s="7"/>
      <c r="F61" s="7"/>
      <c r="G61" s="7"/>
    </row>
    <row r="62" spans="2:7" x14ac:dyDescent="0.25">
      <c r="B62" s="14"/>
      <c r="C62" s="9"/>
      <c r="D62" s="7"/>
      <c r="E62" s="7"/>
      <c r="F62" s="7"/>
      <c r="G62" s="7"/>
    </row>
    <row r="63" spans="2:7" x14ac:dyDescent="0.25">
      <c r="B63" s="14"/>
      <c r="C63" s="9"/>
      <c r="D63" s="7"/>
      <c r="E63" s="7"/>
      <c r="F63" s="7"/>
      <c r="G63" s="7"/>
    </row>
    <row r="64" spans="2:7" x14ac:dyDescent="0.25">
      <c r="B64" s="14"/>
      <c r="C64" s="9"/>
      <c r="D64" s="7"/>
      <c r="E64" s="7"/>
      <c r="F64" s="7"/>
      <c r="G64" s="7"/>
    </row>
    <row r="65" spans="2:7" x14ac:dyDescent="0.25">
      <c r="B65" s="14"/>
      <c r="C65" s="9"/>
      <c r="D65" s="7"/>
      <c r="E65" s="7"/>
      <c r="F65" s="7"/>
      <c r="G65" s="7"/>
    </row>
    <row r="66" spans="2:7" x14ac:dyDescent="0.25">
      <c r="B66" s="14"/>
      <c r="C66" s="9"/>
      <c r="D66" s="7"/>
      <c r="E66" s="7"/>
      <c r="F66" s="7"/>
      <c r="G66" s="7"/>
    </row>
    <row r="67" spans="2:7" x14ac:dyDescent="0.25">
      <c r="B67" s="14"/>
      <c r="C67" s="9"/>
      <c r="D67" s="7"/>
      <c r="E67" s="7"/>
      <c r="F67" s="7"/>
      <c r="G67" s="7"/>
    </row>
    <row r="68" spans="2:7" x14ac:dyDescent="0.25">
      <c r="B68" s="14"/>
      <c r="C68" s="9"/>
      <c r="D68" s="7"/>
      <c r="E68" s="7"/>
      <c r="F68" s="7"/>
      <c r="G68" s="7"/>
    </row>
    <row r="69" spans="2:7" x14ac:dyDescent="0.25">
      <c r="B69" s="14"/>
      <c r="C69" s="9"/>
      <c r="D69" s="7"/>
      <c r="E69" s="7"/>
      <c r="F69" s="7"/>
      <c r="G69" s="7"/>
    </row>
    <row r="70" spans="2:7" x14ac:dyDescent="0.25">
      <c r="B70" s="14"/>
      <c r="C70" s="9"/>
      <c r="D70" s="7"/>
      <c r="E70" s="7"/>
      <c r="F70" s="7"/>
      <c r="G70" s="7"/>
    </row>
    <row r="71" spans="2:7" x14ac:dyDescent="0.25">
      <c r="B71" s="14"/>
      <c r="C71" s="9"/>
      <c r="D71" s="7"/>
      <c r="E71" s="7"/>
      <c r="F71" s="7"/>
      <c r="G71" s="7"/>
    </row>
    <row r="72" spans="2:7" x14ac:dyDescent="0.25">
      <c r="B72" s="14"/>
      <c r="C72" s="9"/>
      <c r="D72" s="7"/>
      <c r="E72" s="7"/>
      <c r="F72" s="7"/>
      <c r="G72" s="7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Alves, Luis</cp:lastModifiedBy>
  <dcterms:created xsi:type="dcterms:W3CDTF">2012-05-27T21:47:25Z</dcterms:created>
  <dcterms:modified xsi:type="dcterms:W3CDTF">2022-09-16T15:39:32Z</dcterms:modified>
</cp:coreProperties>
</file>